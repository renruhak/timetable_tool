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REN\Desktop\"/>
    </mc:Choice>
  </mc:AlternateContent>
  <xr:revisionPtr revIDLastSave="0" documentId="13_ncr:1_{CAD1570C-DB11-4EE4-B725-D5401B618E7F}" xr6:coauthVersionLast="41" xr6:coauthVersionMax="41" xr10:uidLastSave="{00000000-0000-0000-0000-000000000000}"/>
  <bookViews>
    <workbookView xWindow="-108" yWindow="-108" windowWidth="23256" windowHeight="12576" tabRatio="891" xr2:uid="{00000000-000D-0000-FFFF-FFFF00000000}"/>
  </bookViews>
  <sheets>
    <sheet name="DASHBOARD" sheetId="900" r:id="rId1"/>
    <sheet name="DAY" sheetId="1" state="hidden" r:id="rId2"/>
    <sheet name="PERIOD" sheetId="2" state="hidden" r:id="rId3"/>
    <sheet name="FACULTYID" sheetId="3" r:id="rId4"/>
    <sheet name="CLASSID" sheetId="4" r:id="rId5"/>
    <sheet name="CLASSROOMID" sheetId="6" r:id="rId6"/>
    <sheet name="TT" sheetId="8" r:id="rId7"/>
    <sheet name="CTT" sheetId="20" r:id="rId8"/>
    <sheet name="FTT" sheetId="21" r:id="rId9"/>
    <sheet name="RTT" sheetId="382" r:id="rId10"/>
    <sheet name="AAP" sheetId="921" r:id="rId11"/>
    <sheet name="GGP" sheetId="922" r:id="rId12"/>
    <sheet name="YYD" sheetId="923" r:id="rId13"/>
    <sheet name="4CEA" sheetId="924" r:id="rId14"/>
    <sheet name="4CEB" sheetId="925" r:id="rId15"/>
    <sheet name="8888" sheetId="926" r:id="rId16"/>
    <sheet name="9999" sheetId="927" r:id="rId17"/>
  </sheets>
  <functionGroups builtInGroupCount="19"/>
  <definedNames>
    <definedName name="_xlnm._FilterDatabase" localSheetId="6" hidden="1">TT!$A$1:$P$588</definedName>
    <definedName name="_xlnm.Print_Area" localSheetId="8">FTT!$B$2:$I$24</definedName>
    <definedName name="_xlnm.Print_Area" localSheetId="9">RTT!#REF!</definedName>
  </definedNames>
  <calcPr calcId="181029"/>
</workbook>
</file>

<file path=xl/calcChain.xml><?xml version="1.0" encoding="utf-8"?>
<calcChain xmlns="http://schemas.openxmlformats.org/spreadsheetml/2006/main">
  <c r="B5" i="927" l="1"/>
  <c r="B3" i="927"/>
  <c r="B2" i="927"/>
  <c r="B5" i="926"/>
  <c r="B3" i="926"/>
  <c r="B2" i="926"/>
  <c r="A2" i="925"/>
  <c r="A1" i="925"/>
  <c r="A2" i="924"/>
  <c r="A1" i="924"/>
  <c r="E24" i="923"/>
  <c r="D24" i="923"/>
  <c r="F24" i="923" s="1"/>
  <c r="F23" i="923"/>
  <c r="F22" i="923"/>
  <c r="F21" i="923"/>
  <c r="F20" i="923"/>
  <c r="F19" i="923"/>
  <c r="F18" i="923"/>
  <c r="F17" i="923"/>
  <c r="B5" i="923"/>
  <c r="B3" i="923"/>
  <c r="B2" i="923"/>
  <c r="E24" i="922"/>
  <c r="D24" i="922"/>
  <c r="F24" i="922" s="1"/>
  <c r="F23" i="922"/>
  <c r="F22" i="922"/>
  <c r="F21" i="922"/>
  <c r="F20" i="922"/>
  <c r="F19" i="922"/>
  <c r="F18" i="922"/>
  <c r="F17" i="922"/>
  <c r="B5" i="922"/>
  <c r="B3" i="922"/>
  <c r="B2" i="922"/>
  <c r="F24" i="921"/>
  <c r="E24" i="921"/>
  <c r="D24" i="921"/>
  <c r="F23" i="921"/>
  <c r="F22" i="921"/>
  <c r="F21" i="921"/>
  <c r="F20" i="921"/>
  <c r="F19" i="921"/>
  <c r="F18" i="921"/>
  <c r="F17" i="921"/>
  <c r="B5" i="921"/>
  <c r="B3" i="921"/>
  <c r="B2" i="921"/>
  <c r="C2" i="6" l="1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B5" i="382"/>
  <c r="B5" i="21"/>
  <c r="M600" i="8"/>
  <c r="L600" i="8"/>
  <c r="K600" i="8"/>
  <c r="I600" i="8"/>
  <c r="C600" i="8"/>
  <c r="P600" i="8" s="1"/>
  <c r="M599" i="8"/>
  <c r="L599" i="8"/>
  <c r="K599" i="8"/>
  <c r="I599" i="8"/>
  <c r="C599" i="8"/>
  <c r="O599" i="8" s="1"/>
  <c r="M598" i="8"/>
  <c r="L598" i="8"/>
  <c r="K598" i="8"/>
  <c r="I598" i="8"/>
  <c r="C598" i="8"/>
  <c r="O598" i="8" s="1"/>
  <c r="M597" i="8"/>
  <c r="L597" i="8"/>
  <c r="K597" i="8"/>
  <c r="I597" i="8"/>
  <c r="C597" i="8"/>
  <c r="P597" i="8" s="1"/>
  <c r="M596" i="8"/>
  <c r="L596" i="8"/>
  <c r="K596" i="8"/>
  <c r="I596" i="8"/>
  <c r="C596" i="8"/>
  <c r="P596" i="8" s="1"/>
  <c r="M595" i="8"/>
  <c r="L595" i="8"/>
  <c r="K595" i="8"/>
  <c r="I595" i="8"/>
  <c r="C595" i="8"/>
  <c r="O595" i="8" s="1"/>
  <c r="P594" i="8"/>
  <c r="M594" i="8"/>
  <c r="L594" i="8"/>
  <c r="K594" i="8"/>
  <c r="I594" i="8"/>
  <c r="C594" i="8"/>
  <c r="O594" i="8" s="1"/>
  <c r="M593" i="8"/>
  <c r="L593" i="8"/>
  <c r="K593" i="8"/>
  <c r="I593" i="8"/>
  <c r="C593" i="8"/>
  <c r="P593" i="8" s="1"/>
  <c r="M592" i="8"/>
  <c r="L592" i="8"/>
  <c r="K592" i="8"/>
  <c r="I592" i="8"/>
  <c r="C592" i="8"/>
  <c r="P592" i="8" s="1"/>
  <c r="M591" i="8"/>
  <c r="L591" i="8"/>
  <c r="K591" i="8"/>
  <c r="I591" i="8"/>
  <c r="C591" i="8"/>
  <c r="O591" i="8" s="1"/>
  <c r="M590" i="8"/>
  <c r="L590" i="8"/>
  <c r="K590" i="8"/>
  <c r="I590" i="8"/>
  <c r="C590" i="8"/>
  <c r="P590" i="8" s="1"/>
  <c r="M589" i="8"/>
  <c r="L589" i="8"/>
  <c r="K589" i="8"/>
  <c r="I589" i="8"/>
  <c r="C589" i="8"/>
  <c r="P589" i="8" s="1"/>
  <c r="B3" i="382"/>
  <c r="B3" i="21"/>
  <c r="B2" i="382"/>
  <c r="B2" i="21"/>
  <c r="A2" i="20"/>
  <c r="A1" i="20"/>
  <c r="O590" i="8" l="1"/>
  <c r="P598" i="8"/>
  <c r="O592" i="8"/>
  <c r="P591" i="8"/>
  <c r="P595" i="8"/>
  <c r="P599" i="8"/>
  <c r="O596" i="8"/>
  <c r="O589" i="8"/>
  <c r="O593" i="8"/>
  <c r="O597" i="8"/>
  <c r="O600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26" i="4"/>
  <c r="C25" i="4"/>
  <c r="C24" i="4"/>
  <c r="C23" i="4"/>
  <c r="C22" i="4"/>
  <c r="C21" i="4"/>
  <c r="C20" i="4"/>
  <c r="C19" i="4"/>
  <c r="C18" i="4"/>
  <c r="C17" i="4"/>
  <c r="C16" i="4"/>
  <c r="D31" i="3"/>
  <c r="D30" i="3"/>
  <c r="D29" i="3"/>
  <c r="P588" i="8" l="1"/>
  <c r="M588" i="8"/>
  <c r="L588" i="8"/>
  <c r="K588" i="8"/>
  <c r="I588" i="8"/>
  <c r="O588" i="8" l="1"/>
  <c r="M532" i="8"/>
  <c r="L532" i="8"/>
  <c r="K532" i="8"/>
  <c r="I532" i="8"/>
  <c r="P532" i="8"/>
  <c r="O532" i="8" l="1"/>
  <c r="M546" i="8"/>
  <c r="L546" i="8"/>
  <c r="K546" i="8"/>
  <c r="I510" i="8" l="1"/>
  <c r="I509" i="8"/>
  <c r="I508" i="8"/>
  <c r="I475" i="8"/>
  <c r="I474" i="8"/>
  <c r="I412" i="8"/>
  <c r="I411" i="8"/>
  <c r="I410" i="8"/>
  <c r="I336" i="8"/>
  <c r="I355" i="8"/>
  <c r="I354" i="8"/>
  <c r="I353" i="8"/>
  <c r="I292" i="8"/>
  <c r="I291" i="8"/>
  <c r="I290" i="8"/>
  <c r="I232" i="8"/>
  <c r="I243" i="8"/>
  <c r="I587" i="8"/>
  <c r="I586" i="8"/>
  <c r="I585" i="8"/>
  <c r="I584" i="8"/>
  <c r="I583" i="8"/>
  <c r="I582" i="8"/>
  <c r="I581" i="8"/>
  <c r="I580" i="8"/>
  <c r="I579" i="8"/>
  <c r="I578" i="8"/>
  <c r="I577" i="8"/>
  <c r="I576" i="8"/>
  <c r="I575" i="8"/>
  <c r="I574" i="8"/>
  <c r="I573" i="8"/>
  <c r="I572" i="8"/>
  <c r="I571" i="8"/>
  <c r="I570" i="8"/>
  <c r="I569" i="8"/>
  <c r="I568" i="8"/>
  <c r="I567" i="8"/>
  <c r="I566" i="8"/>
  <c r="I565" i="8"/>
  <c r="M525" i="8"/>
  <c r="L525" i="8"/>
  <c r="K525" i="8"/>
  <c r="I525" i="8"/>
  <c r="P525" i="8"/>
  <c r="O525" i="8" l="1"/>
  <c r="M361" i="8"/>
  <c r="L361" i="8"/>
  <c r="K361" i="8"/>
  <c r="I361" i="8"/>
  <c r="P361" i="8"/>
  <c r="M362" i="8"/>
  <c r="L362" i="8"/>
  <c r="K362" i="8"/>
  <c r="I362" i="8"/>
  <c r="P362" i="8"/>
  <c r="M363" i="8"/>
  <c r="L363" i="8"/>
  <c r="K363" i="8"/>
  <c r="I363" i="8"/>
  <c r="P363" i="8"/>
  <c r="M364" i="8"/>
  <c r="L364" i="8"/>
  <c r="K364" i="8"/>
  <c r="I364" i="8"/>
  <c r="P364" i="8"/>
  <c r="M330" i="8"/>
  <c r="L330" i="8"/>
  <c r="K330" i="8"/>
  <c r="P330" i="8"/>
  <c r="M331" i="8"/>
  <c r="L331" i="8"/>
  <c r="K331" i="8"/>
  <c r="P331" i="8"/>
  <c r="M322" i="8"/>
  <c r="L322" i="8"/>
  <c r="K322" i="8"/>
  <c r="I322" i="8"/>
  <c r="P322" i="8"/>
  <c r="M321" i="8"/>
  <c r="L321" i="8"/>
  <c r="K321" i="8"/>
  <c r="I321" i="8"/>
  <c r="P321" i="8"/>
  <c r="M323" i="8"/>
  <c r="L323" i="8"/>
  <c r="K323" i="8"/>
  <c r="I323" i="8"/>
  <c r="P323" i="8"/>
  <c r="M319" i="8"/>
  <c r="L319" i="8"/>
  <c r="K319" i="8"/>
  <c r="I319" i="8"/>
  <c r="P319" i="8"/>
  <c r="M315" i="8"/>
  <c r="L315" i="8"/>
  <c r="K315" i="8"/>
  <c r="P315" i="8"/>
  <c r="M316" i="8"/>
  <c r="L316" i="8"/>
  <c r="K316" i="8"/>
  <c r="P316" i="8"/>
  <c r="M280" i="8"/>
  <c r="L280" i="8"/>
  <c r="K280" i="8"/>
  <c r="I280" i="8"/>
  <c r="P280" i="8"/>
  <c r="M266" i="8"/>
  <c r="L266" i="8"/>
  <c r="K266" i="8"/>
  <c r="P266" i="8"/>
  <c r="M265" i="8"/>
  <c r="L265" i="8"/>
  <c r="K265" i="8"/>
  <c r="P265" i="8"/>
  <c r="M244" i="8"/>
  <c r="L244" i="8"/>
  <c r="K244" i="8"/>
  <c r="I244" i="8"/>
  <c r="P244" i="8"/>
  <c r="M237" i="8"/>
  <c r="L237" i="8"/>
  <c r="K237" i="8"/>
  <c r="P237" i="8"/>
  <c r="M238" i="8"/>
  <c r="L238" i="8"/>
  <c r="K238" i="8"/>
  <c r="P238" i="8"/>
  <c r="O361" i="8" l="1"/>
  <c r="O362" i="8"/>
  <c r="O363" i="8"/>
  <c r="O364" i="8"/>
  <c r="O330" i="8"/>
  <c r="O331" i="8"/>
  <c r="O322" i="8"/>
  <c r="O321" i="8"/>
  <c r="O323" i="8"/>
  <c r="O319" i="8"/>
  <c r="O315" i="8"/>
  <c r="O316" i="8"/>
  <c r="O280" i="8"/>
  <c r="O266" i="8"/>
  <c r="O265" i="8"/>
  <c r="O244" i="8"/>
  <c r="O237" i="8"/>
  <c r="O238" i="8"/>
  <c r="L35" i="8" l="1"/>
  <c r="L216" i="8" l="1"/>
  <c r="K216" i="8"/>
  <c r="O483" i="8" l="1"/>
  <c r="I483" i="8"/>
  <c r="K483" i="8"/>
  <c r="L483" i="8"/>
  <c r="M483" i="8"/>
  <c r="P483" i="8" l="1"/>
  <c r="O12" i="8"/>
  <c r="I12" i="8"/>
  <c r="K12" i="8"/>
  <c r="L12" i="8"/>
  <c r="M12" i="8"/>
  <c r="P12" i="8" l="1"/>
  <c r="M587" i="8"/>
  <c r="L587" i="8"/>
  <c r="K587" i="8"/>
  <c r="M586" i="8"/>
  <c r="L586" i="8"/>
  <c r="K586" i="8"/>
  <c r="M585" i="8"/>
  <c r="L585" i="8"/>
  <c r="K585" i="8"/>
  <c r="M584" i="8"/>
  <c r="L584" i="8"/>
  <c r="K584" i="8"/>
  <c r="M583" i="8"/>
  <c r="L583" i="8"/>
  <c r="K583" i="8"/>
  <c r="M582" i="8"/>
  <c r="L582" i="8"/>
  <c r="K582" i="8"/>
  <c r="M581" i="8"/>
  <c r="L581" i="8"/>
  <c r="K581" i="8"/>
  <c r="M580" i="8"/>
  <c r="L580" i="8"/>
  <c r="K580" i="8"/>
  <c r="M579" i="8"/>
  <c r="L579" i="8"/>
  <c r="K579" i="8"/>
  <c r="M578" i="8"/>
  <c r="L578" i="8"/>
  <c r="K578" i="8"/>
  <c r="M577" i="8"/>
  <c r="L577" i="8"/>
  <c r="K577" i="8"/>
  <c r="M576" i="8"/>
  <c r="L576" i="8"/>
  <c r="K576" i="8"/>
  <c r="M575" i="8"/>
  <c r="L575" i="8"/>
  <c r="K575" i="8"/>
  <c r="M574" i="8"/>
  <c r="L574" i="8"/>
  <c r="K574" i="8"/>
  <c r="M573" i="8"/>
  <c r="L573" i="8"/>
  <c r="K573" i="8"/>
  <c r="M572" i="8"/>
  <c r="L572" i="8"/>
  <c r="K572" i="8"/>
  <c r="M571" i="8"/>
  <c r="L571" i="8"/>
  <c r="K571" i="8"/>
  <c r="M570" i="8"/>
  <c r="L570" i="8"/>
  <c r="K570" i="8"/>
  <c r="M569" i="8"/>
  <c r="L569" i="8"/>
  <c r="K569" i="8"/>
  <c r="M568" i="8"/>
  <c r="L568" i="8"/>
  <c r="K568" i="8"/>
  <c r="M567" i="8"/>
  <c r="L567" i="8"/>
  <c r="K567" i="8"/>
  <c r="M566" i="8"/>
  <c r="L566" i="8"/>
  <c r="K566" i="8"/>
  <c r="M565" i="8"/>
  <c r="L565" i="8"/>
  <c r="K565" i="8"/>
  <c r="O587" i="8"/>
  <c r="P586" i="8"/>
  <c r="O585" i="8"/>
  <c r="P584" i="8"/>
  <c r="O583" i="8"/>
  <c r="P582" i="8"/>
  <c r="P581" i="8"/>
  <c r="O580" i="8"/>
  <c r="P579" i="8"/>
  <c r="O578" i="8"/>
  <c r="P577" i="8"/>
  <c r="O576" i="8"/>
  <c r="O575" i="8"/>
  <c r="P574" i="8"/>
  <c r="O573" i="8"/>
  <c r="P572" i="8"/>
  <c r="O571" i="8"/>
  <c r="P570" i="8"/>
  <c r="P569" i="8"/>
  <c r="O568" i="8"/>
  <c r="P567" i="8"/>
  <c r="O566" i="8"/>
  <c r="P565" i="8"/>
  <c r="P566" i="8" l="1"/>
  <c r="P573" i="8"/>
  <c r="P576" i="8"/>
  <c r="P580" i="8"/>
  <c r="P583" i="8"/>
  <c r="P587" i="8"/>
  <c r="P568" i="8"/>
  <c r="P571" i="8"/>
  <c r="P575" i="8"/>
  <c r="P578" i="8"/>
  <c r="P585" i="8"/>
  <c r="O565" i="8"/>
  <c r="O567" i="8"/>
  <c r="O569" i="8"/>
  <c r="O570" i="8"/>
  <c r="O572" i="8"/>
  <c r="O574" i="8"/>
  <c r="O577" i="8"/>
  <c r="O579" i="8"/>
  <c r="O581" i="8"/>
  <c r="O582" i="8"/>
  <c r="O584" i="8"/>
  <c r="O586" i="8"/>
  <c r="O546" i="8" l="1"/>
  <c r="P546" i="8"/>
  <c r="O564" i="8"/>
  <c r="O563" i="8"/>
  <c r="O562" i="8"/>
  <c r="O561" i="8"/>
  <c r="O560" i="8"/>
  <c r="O559" i="8"/>
  <c r="O558" i="8"/>
  <c r="O557" i="8"/>
  <c r="O556" i="8"/>
  <c r="O555" i="8"/>
  <c r="M564" i="8"/>
  <c r="L564" i="8"/>
  <c r="K564" i="8"/>
  <c r="I564" i="8"/>
  <c r="M563" i="8"/>
  <c r="L563" i="8"/>
  <c r="K563" i="8"/>
  <c r="I563" i="8"/>
  <c r="M554" i="8"/>
  <c r="L554" i="8"/>
  <c r="K554" i="8"/>
  <c r="I554" i="8"/>
  <c r="O554" i="8"/>
  <c r="M553" i="8"/>
  <c r="L553" i="8"/>
  <c r="K553" i="8"/>
  <c r="I553" i="8"/>
  <c r="O553" i="8"/>
  <c r="M552" i="8"/>
  <c r="L552" i="8"/>
  <c r="K552" i="8"/>
  <c r="I552" i="8"/>
  <c r="O552" i="8"/>
  <c r="O549" i="8"/>
  <c r="O547" i="8"/>
  <c r="M549" i="8"/>
  <c r="L549" i="8"/>
  <c r="K549" i="8"/>
  <c r="I549" i="8"/>
  <c r="M548" i="8"/>
  <c r="L548" i="8"/>
  <c r="K548" i="8"/>
  <c r="I548" i="8"/>
  <c r="M547" i="8"/>
  <c r="L547" i="8"/>
  <c r="K547" i="8"/>
  <c r="I547" i="8"/>
  <c r="M539" i="8"/>
  <c r="L539" i="8"/>
  <c r="K539" i="8"/>
  <c r="I539" i="8"/>
  <c r="M524" i="8"/>
  <c r="L524" i="8"/>
  <c r="K524" i="8"/>
  <c r="I524" i="8"/>
  <c r="M520" i="8"/>
  <c r="L520" i="8"/>
  <c r="K520" i="8"/>
  <c r="I520" i="8"/>
  <c r="I521" i="8"/>
  <c r="K521" i="8"/>
  <c r="L521" i="8"/>
  <c r="M521" i="8"/>
  <c r="O459" i="8"/>
  <c r="I459" i="8"/>
  <c r="K459" i="8"/>
  <c r="L459" i="8"/>
  <c r="M459" i="8"/>
  <c r="M433" i="8"/>
  <c r="L433" i="8"/>
  <c r="K433" i="8"/>
  <c r="I433" i="8"/>
  <c r="M432" i="8"/>
  <c r="L432" i="8"/>
  <c r="K432" i="8"/>
  <c r="I432" i="8"/>
  <c r="M368" i="8"/>
  <c r="L368" i="8"/>
  <c r="K368" i="8"/>
  <c r="O368" i="8"/>
  <c r="M367" i="8"/>
  <c r="L367" i="8"/>
  <c r="K367" i="8"/>
  <c r="M352" i="8"/>
  <c r="L352" i="8"/>
  <c r="K352" i="8"/>
  <c r="I352" i="8"/>
  <c r="O352" i="8"/>
  <c r="M346" i="8"/>
  <c r="L346" i="8"/>
  <c r="K346" i="8"/>
  <c r="I346" i="8"/>
  <c r="M313" i="8"/>
  <c r="L313" i="8"/>
  <c r="K313" i="8"/>
  <c r="I313" i="8"/>
  <c r="M292" i="8"/>
  <c r="L292" i="8"/>
  <c r="K292" i="8"/>
  <c r="M291" i="8"/>
  <c r="L291" i="8"/>
  <c r="K291" i="8"/>
  <c r="M269" i="8"/>
  <c r="L269" i="8"/>
  <c r="K269" i="8"/>
  <c r="M268" i="8"/>
  <c r="L268" i="8"/>
  <c r="K268" i="8"/>
  <c r="M232" i="8"/>
  <c r="L232" i="8"/>
  <c r="K232" i="8"/>
  <c r="P562" i="8" l="1"/>
  <c r="P555" i="8"/>
  <c r="P558" i="8"/>
  <c r="P352" i="8"/>
  <c r="O292" i="8"/>
  <c r="P292" i="8"/>
  <c r="O432" i="8"/>
  <c r="P432" i="8"/>
  <c r="P564" i="8"/>
  <c r="P561" i="8"/>
  <c r="P554" i="8"/>
  <c r="O268" i="8"/>
  <c r="P268" i="8"/>
  <c r="O313" i="8"/>
  <c r="P313" i="8"/>
  <c r="O433" i="8"/>
  <c r="P433" i="8"/>
  <c r="O524" i="8"/>
  <c r="P524" i="8"/>
  <c r="P560" i="8"/>
  <c r="P557" i="8"/>
  <c r="P553" i="8"/>
  <c r="P549" i="8"/>
  <c r="P459" i="8"/>
  <c r="P368" i="8"/>
  <c r="O367" i="8"/>
  <c r="P367" i="8"/>
  <c r="O548" i="8"/>
  <c r="P548" i="8"/>
  <c r="O269" i="8"/>
  <c r="P269" i="8"/>
  <c r="O346" i="8"/>
  <c r="P346" i="8"/>
  <c r="O539" i="8"/>
  <c r="P539" i="8"/>
  <c r="P563" i="8"/>
  <c r="P559" i="8"/>
  <c r="P556" i="8"/>
  <c r="P552" i="8"/>
  <c r="P547" i="8"/>
  <c r="O520" i="8"/>
  <c r="P520" i="8"/>
  <c r="O232" i="8"/>
  <c r="P232" i="8"/>
  <c r="O291" i="8"/>
  <c r="P291" i="8"/>
  <c r="O521" i="8"/>
  <c r="P521" i="8"/>
  <c r="E24" i="21"/>
  <c r="D24" i="21"/>
  <c r="F23" i="21"/>
  <c r="F22" i="21"/>
  <c r="F21" i="21"/>
  <c r="F20" i="21"/>
  <c r="F19" i="21"/>
  <c r="F18" i="21"/>
  <c r="F17" i="21"/>
  <c r="C14" i="4"/>
  <c r="C13" i="4"/>
  <c r="C12" i="4"/>
  <c r="C11" i="4"/>
  <c r="C10" i="4"/>
  <c r="C15" i="4"/>
  <c r="C9" i="4"/>
  <c r="C8" i="4"/>
  <c r="C7" i="4"/>
  <c r="C6" i="4"/>
  <c r="C5" i="4"/>
  <c r="C4" i="4"/>
  <c r="C3" i="4"/>
  <c r="C2" i="4"/>
  <c r="F24" i="21" l="1"/>
  <c r="O11" i="8"/>
  <c r="P11" i="8"/>
  <c r="O23" i="8"/>
  <c r="P23" i="8"/>
  <c r="O35" i="8"/>
  <c r="P35" i="8"/>
  <c r="O47" i="8"/>
  <c r="P47" i="8"/>
  <c r="O59" i="8"/>
  <c r="P59" i="8"/>
  <c r="O71" i="8"/>
  <c r="P71" i="8"/>
  <c r="O83" i="8"/>
  <c r="P83" i="8"/>
  <c r="O95" i="8"/>
  <c r="P95" i="8"/>
  <c r="O107" i="8"/>
  <c r="P107" i="8"/>
  <c r="O123" i="8"/>
  <c r="P123" i="8"/>
  <c r="O139" i="8"/>
  <c r="P139" i="8"/>
  <c r="O151" i="8"/>
  <c r="P151" i="8"/>
  <c r="O163" i="8"/>
  <c r="P163" i="8"/>
  <c r="O175" i="8"/>
  <c r="P175" i="8"/>
  <c r="O187" i="8"/>
  <c r="P187" i="8"/>
  <c r="O199" i="8"/>
  <c r="P199" i="8"/>
  <c r="O211" i="8"/>
  <c r="P211" i="8"/>
  <c r="O235" i="8"/>
  <c r="P235" i="8"/>
  <c r="O254" i="8"/>
  <c r="P254" i="8"/>
  <c r="O262" i="8"/>
  <c r="P262" i="8"/>
  <c r="O278" i="8"/>
  <c r="P278" i="8"/>
  <c r="O290" i="8"/>
  <c r="P290" i="8"/>
  <c r="O304" i="8"/>
  <c r="P304" i="8"/>
  <c r="O318" i="8"/>
  <c r="P318" i="8"/>
  <c r="O335" i="8"/>
  <c r="P335" i="8"/>
  <c r="O348" i="8"/>
  <c r="P348" i="8"/>
  <c r="O371" i="8"/>
  <c r="P371" i="8"/>
  <c r="O388" i="8"/>
  <c r="P388" i="8"/>
  <c r="O400" i="8"/>
  <c r="P400" i="8"/>
  <c r="O409" i="8"/>
  <c r="P409" i="8"/>
  <c r="O427" i="8"/>
  <c r="P427" i="8"/>
  <c r="O454" i="8"/>
  <c r="P454" i="8"/>
  <c r="O467" i="8"/>
  <c r="P467" i="8"/>
  <c r="O476" i="8"/>
  <c r="P476" i="8"/>
  <c r="O484" i="8"/>
  <c r="P484" i="8"/>
  <c r="O494" i="8"/>
  <c r="P494" i="8"/>
  <c r="O506" i="8"/>
  <c r="P506" i="8"/>
  <c r="O515" i="8"/>
  <c r="P515" i="8"/>
  <c r="O530" i="8"/>
  <c r="P530" i="8"/>
  <c r="O541" i="8"/>
  <c r="P541" i="8"/>
  <c r="O4" i="8"/>
  <c r="P4" i="8"/>
  <c r="O8" i="8"/>
  <c r="P8" i="8"/>
  <c r="O16" i="8"/>
  <c r="P16" i="8"/>
  <c r="O20" i="8"/>
  <c r="P20" i="8"/>
  <c r="O24" i="8"/>
  <c r="P24" i="8"/>
  <c r="O28" i="8"/>
  <c r="P28" i="8"/>
  <c r="O32" i="8"/>
  <c r="P32" i="8"/>
  <c r="O36" i="8"/>
  <c r="P36" i="8"/>
  <c r="O40" i="8"/>
  <c r="P40" i="8"/>
  <c r="O44" i="8"/>
  <c r="P44" i="8"/>
  <c r="O48" i="8"/>
  <c r="P48" i="8"/>
  <c r="O52" i="8"/>
  <c r="P52" i="8"/>
  <c r="O56" i="8"/>
  <c r="P56" i="8"/>
  <c r="O60" i="8"/>
  <c r="P60" i="8"/>
  <c r="O64" i="8"/>
  <c r="P64" i="8"/>
  <c r="O68" i="8"/>
  <c r="P68" i="8"/>
  <c r="O72" i="8"/>
  <c r="P72" i="8"/>
  <c r="O76" i="8"/>
  <c r="P76" i="8"/>
  <c r="O80" i="8"/>
  <c r="P80" i="8"/>
  <c r="O84" i="8"/>
  <c r="P84" i="8"/>
  <c r="O88" i="8"/>
  <c r="P88" i="8"/>
  <c r="O92" i="8"/>
  <c r="P92" i="8"/>
  <c r="O96" i="8"/>
  <c r="P96" i="8"/>
  <c r="O100" i="8"/>
  <c r="P100" i="8"/>
  <c r="O104" i="8"/>
  <c r="P104" i="8"/>
  <c r="O108" i="8"/>
  <c r="P108" i="8"/>
  <c r="O112" i="8"/>
  <c r="P112" i="8"/>
  <c r="O116" i="8"/>
  <c r="P116" i="8"/>
  <c r="O120" i="8"/>
  <c r="P120" i="8"/>
  <c r="O124" i="8"/>
  <c r="P124" i="8"/>
  <c r="O128" i="8"/>
  <c r="P128" i="8"/>
  <c r="O132" i="8"/>
  <c r="P132" i="8"/>
  <c r="O136" i="8"/>
  <c r="P136" i="8"/>
  <c r="O140" i="8"/>
  <c r="P140" i="8"/>
  <c r="O144" i="8"/>
  <c r="P144" i="8"/>
  <c r="O148" i="8"/>
  <c r="P148" i="8"/>
  <c r="O152" i="8"/>
  <c r="P152" i="8"/>
  <c r="O156" i="8"/>
  <c r="P156" i="8"/>
  <c r="O160" i="8"/>
  <c r="P160" i="8"/>
  <c r="O164" i="8"/>
  <c r="P164" i="8"/>
  <c r="O168" i="8"/>
  <c r="P168" i="8"/>
  <c r="O172" i="8"/>
  <c r="P172" i="8"/>
  <c r="O176" i="8"/>
  <c r="P176" i="8"/>
  <c r="O180" i="8"/>
  <c r="P180" i="8"/>
  <c r="O184" i="8"/>
  <c r="P184" i="8"/>
  <c r="O188" i="8"/>
  <c r="P188" i="8"/>
  <c r="O192" i="8"/>
  <c r="P192" i="8"/>
  <c r="O196" i="8"/>
  <c r="P196" i="8"/>
  <c r="O200" i="8"/>
  <c r="P200" i="8"/>
  <c r="O204" i="8"/>
  <c r="P204" i="8"/>
  <c r="O208" i="8"/>
  <c r="P208" i="8"/>
  <c r="O212" i="8"/>
  <c r="P212" i="8"/>
  <c r="O216" i="8"/>
  <c r="P216" i="8"/>
  <c r="O220" i="8"/>
  <c r="P220" i="8"/>
  <c r="O223" i="8"/>
  <c r="P223" i="8"/>
  <c r="O227" i="8"/>
  <c r="P227" i="8"/>
  <c r="O231" i="8"/>
  <c r="P231" i="8"/>
  <c r="O236" i="8"/>
  <c r="P236" i="8"/>
  <c r="O242" i="8"/>
  <c r="P242" i="8"/>
  <c r="O247" i="8"/>
  <c r="P247" i="8"/>
  <c r="O251" i="8"/>
  <c r="P251" i="8"/>
  <c r="O255" i="8"/>
  <c r="P255" i="8"/>
  <c r="O259" i="8"/>
  <c r="P259" i="8"/>
  <c r="O263" i="8"/>
  <c r="P263" i="8"/>
  <c r="O271" i="8"/>
  <c r="P271" i="8"/>
  <c r="O275" i="8"/>
  <c r="P275" i="8"/>
  <c r="O279" i="8"/>
  <c r="P279" i="8"/>
  <c r="O284" i="8"/>
  <c r="P284" i="8"/>
  <c r="O293" i="8"/>
  <c r="P293" i="8"/>
  <c r="O297" i="8"/>
  <c r="P297" i="8"/>
  <c r="O301" i="8"/>
  <c r="P301" i="8"/>
  <c r="O305" i="8"/>
  <c r="P305" i="8"/>
  <c r="O309" i="8"/>
  <c r="P309" i="8"/>
  <c r="O314" i="8"/>
  <c r="P314" i="8"/>
  <c r="O320" i="8"/>
  <c r="P320" i="8"/>
  <c r="O327" i="8"/>
  <c r="P327" i="8"/>
  <c r="O332" i="8"/>
  <c r="P332" i="8"/>
  <c r="O336" i="8"/>
  <c r="P336" i="8"/>
  <c r="O340" i="8"/>
  <c r="P340" i="8"/>
  <c r="O344" i="8"/>
  <c r="P344" i="8"/>
  <c r="O349" i="8"/>
  <c r="P349" i="8"/>
  <c r="O354" i="8"/>
  <c r="P354" i="8"/>
  <c r="O358" i="8"/>
  <c r="P358" i="8"/>
  <c r="O366" i="8"/>
  <c r="P366" i="8"/>
  <c r="O372" i="8"/>
  <c r="P372" i="8"/>
  <c r="O376" i="8"/>
  <c r="P376" i="8"/>
  <c r="O381" i="8"/>
  <c r="P381" i="8"/>
  <c r="O385" i="8"/>
  <c r="P385" i="8"/>
  <c r="O389" i="8"/>
  <c r="P389" i="8"/>
  <c r="O393" i="8"/>
  <c r="P393" i="8"/>
  <c r="O397" i="8"/>
  <c r="P397" i="8"/>
  <c r="O401" i="8"/>
  <c r="P401" i="8"/>
  <c r="O406" i="8"/>
  <c r="P406" i="8"/>
  <c r="O410" i="8"/>
  <c r="P410" i="8"/>
  <c r="O414" i="8"/>
  <c r="P414" i="8"/>
  <c r="O416" i="8"/>
  <c r="P416" i="8"/>
  <c r="O420" i="8"/>
  <c r="P420" i="8"/>
  <c r="O424" i="8"/>
  <c r="P424" i="8"/>
  <c r="O428" i="8"/>
  <c r="P428" i="8"/>
  <c r="O434" i="8"/>
  <c r="P434" i="8"/>
  <c r="O438" i="8"/>
  <c r="P438" i="8"/>
  <c r="O441" i="8"/>
  <c r="P441" i="8"/>
  <c r="O445" i="8"/>
  <c r="P445" i="8"/>
  <c r="O449" i="8"/>
  <c r="P449" i="8"/>
  <c r="O452" i="8"/>
  <c r="P452" i="8"/>
  <c r="O455" i="8"/>
  <c r="P455" i="8"/>
  <c r="O460" i="8"/>
  <c r="P460" i="8"/>
  <c r="O464" i="8"/>
  <c r="P464" i="8"/>
  <c r="O468" i="8"/>
  <c r="P468" i="8"/>
  <c r="O472" i="8"/>
  <c r="P472" i="8"/>
  <c r="O477" i="8"/>
  <c r="P477" i="8"/>
  <c r="O481" i="8"/>
  <c r="P481" i="8"/>
  <c r="O485" i="8"/>
  <c r="P485" i="8"/>
  <c r="O489" i="8"/>
  <c r="P489" i="8"/>
  <c r="O491" i="8"/>
  <c r="P491" i="8"/>
  <c r="O495" i="8"/>
  <c r="P495" i="8"/>
  <c r="O499" i="8"/>
  <c r="P499" i="8"/>
  <c r="O503" i="8"/>
  <c r="P503" i="8"/>
  <c r="O507" i="8"/>
  <c r="P507" i="8"/>
  <c r="O511" i="8"/>
  <c r="P511" i="8"/>
  <c r="O519" i="8"/>
  <c r="P519" i="8"/>
  <c r="O527" i="8"/>
  <c r="P527" i="8"/>
  <c r="O531" i="8"/>
  <c r="P531" i="8"/>
  <c r="O537" i="8"/>
  <c r="P537" i="8"/>
  <c r="O542" i="8"/>
  <c r="P542" i="8"/>
  <c r="O7" i="8"/>
  <c r="P7" i="8"/>
  <c r="O15" i="8"/>
  <c r="P15" i="8"/>
  <c r="O27" i="8"/>
  <c r="P27" i="8"/>
  <c r="O39" i="8"/>
  <c r="P39" i="8"/>
  <c r="O51" i="8"/>
  <c r="P51" i="8"/>
  <c r="O67" i="8"/>
  <c r="P67" i="8"/>
  <c r="O79" i="8"/>
  <c r="P79" i="8"/>
  <c r="O87" i="8"/>
  <c r="P87" i="8"/>
  <c r="O99" i="8"/>
  <c r="P99" i="8"/>
  <c r="O111" i="8"/>
  <c r="P111" i="8"/>
  <c r="O119" i="8"/>
  <c r="P119" i="8"/>
  <c r="O135" i="8"/>
  <c r="P135" i="8"/>
  <c r="O147" i="8"/>
  <c r="P147" i="8"/>
  <c r="O159" i="8"/>
  <c r="P159" i="8"/>
  <c r="O171" i="8"/>
  <c r="P171" i="8"/>
  <c r="O183" i="8"/>
  <c r="P183" i="8"/>
  <c r="O195" i="8"/>
  <c r="P195" i="8"/>
  <c r="O207" i="8"/>
  <c r="P207" i="8"/>
  <c r="O219" i="8"/>
  <c r="P219" i="8"/>
  <c r="O230" i="8"/>
  <c r="P230" i="8"/>
  <c r="O246" i="8"/>
  <c r="P246" i="8"/>
  <c r="O258" i="8"/>
  <c r="P258" i="8"/>
  <c r="O274" i="8"/>
  <c r="P274" i="8"/>
  <c r="O283" i="8"/>
  <c r="P283" i="8"/>
  <c r="O296" i="8"/>
  <c r="P296" i="8"/>
  <c r="O312" i="8"/>
  <c r="P312" i="8"/>
  <c r="O326" i="8"/>
  <c r="P326" i="8"/>
  <c r="O339" i="8"/>
  <c r="P339" i="8"/>
  <c r="O353" i="8"/>
  <c r="P353" i="8"/>
  <c r="O365" i="8"/>
  <c r="P365" i="8"/>
  <c r="O375" i="8"/>
  <c r="P375" i="8"/>
  <c r="O384" i="8"/>
  <c r="P384" i="8"/>
  <c r="O396" i="8"/>
  <c r="P396" i="8"/>
  <c r="O419" i="8"/>
  <c r="P419" i="8"/>
  <c r="O431" i="8"/>
  <c r="P431" i="8"/>
  <c r="O444" i="8"/>
  <c r="P444" i="8"/>
  <c r="O448" i="8"/>
  <c r="P448" i="8"/>
  <c r="O458" i="8"/>
  <c r="P458" i="8"/>
  <c r="O490" i="8"/>
  <c r="P490" i="8"/>
  <c r="O502" i="8"/>
  <c r="P502" i="8"/>
  <c r="O518" i="8"/>
  <c r="P518" i="8"/>
  <c r="O536" i="8"/>
  <c r="P536" i="8"/>
  <c r="O545" i="8"/>
  <c r="P545" i="8"/>
  <c r="O5" i="8"/>
  <c r="P5" i="8"/>
  <c r="O9" i="8"/>
  <c r="P9" i="8"/>
  <c r="O13" i="8"/>
  <c r="P13" i="8"/>
  <c r="O17" i="8"/>
  <c r="P17" i="8"/>
  <c r="O21" i="8"/>
  <c r="P21" i="8"/>
  <c r="O25" i="8"/>
  <c r="P25" i="8"/>
  <c r="O29" i="8"/>
  <c r="P29" i="8"/>
  <c r="O33" i="8"/>
  <c r="P33" i="8"/>
  <c r="O37" i="8"/>
  <c r="P37" i="8"/>
  <c r="O41" i="8"/>
  <c r="P41" i="8"/>
  <c r="O45" i="8"/>
  <c r="P45" i="8"/>
  <c r="O49" i="8"/>
  <c r="P49" i="8"/>
  <c r="O53" i="8"/>
  <c r="P53" i="8"/>
  <c r="O57" i="8"/>
  <c r="P57" i="8"/>
  <c r="O61" i="8"/>
  <c r="P61" i="8"/>
  <c r="O65" i="8"/>
  <c r="P65" i="8"/>
  <c r="O69" i="8"/>
  <c r="P69" i="8"/>
  <c r="O73" i="8"/>
  <c r="P73" i="8"/>
  <c r="O77" i="8"/>
  <c r="P77" i="8"/>
  <c r="O81" i="8"/>
  <c r="P81" i="8"/>
  <c r="O85" i="8"/>
  <c r="P85" i="8"/>
  <c r="O89" i="8"/>
  <c r="P89" i="8"/>
  <c r="O93" i="8"/>
  <c r="P93" i="8"/>
  <c r="O97" i="8"/>
  <c r="P97" i="8"/>
  <c r="O101" i="8"/>
  <c r="P101" i="8"/>
  <c r="O105" i="8"/>
  <c r="P105" i="8"/>
  <c r="O109" i="8"/>
  <c r="P109" i="8"/>
  <c r="O113" i="8"/>
  <c r="P113" i="8"/>
  <c r="O117" i="8"/>
  <c r="P117" i="8"/>
  <c r="O121" i="8"/>
  <c r="P121" i="8"/>
  <c r="O125" i="8"/>
  <c r="P125" i="8"/>
  <c r="O129" i="8"/>
  <c r="P129" i="8"/>
  <c r="O133" i="8"/>
  <c r="P133" i="8"/>
  <c r="O137" i="8"/>
  <c r="P137" i="8"/>
  <c r="O141" i="8"/>
  <c r="P141" i="8"/>
  <c r="O145" i="8"/>
  <c r="P145" i="8"/>
  <c r="O149" i="8"/>
  <c r="P149" i="8"/>
  <c r="O153" i="8"/>
  <c r="P153" i="8"/>
  <c r="O157" i="8"/>
  <c r="P157" i="8"/>
  <c r="O161" i="8"/>
  <c r="P161" i="8"/>
  <c r="O165" i="8"/>
  <c r="P165" i="8"/>
  <c r="O169" i="8"/>
  <c r="P169" i="8"/>
  <c r="O173" i="8"/>
  <c r="P173" i="8"/>
  <c r="O177" i="8"/>
  <c r="P177" i="8"/>
  <c r="O181" i="8"/>
  <c r="P181" i="8"/>
  <c r="O185" i="8"/>
  <c r="P185" i="8"/>
  <c r="O189" i="8"/>
  <c r="P189" i="8"/>
  <c r="O193" i="8"/>
  <c r="P193" i="8"/>
  <c r="O197" i="8"/>
  <c r="P197" i="8"/>
  <c r="O201" i="8"/>
  <c r="P201" i="8"/>
  <c r="O205" i="8"/>
  <c r="P205" i="8"/>
  <c r="O209" i="8"/>
  <c r="P209" i="8"/>
  <c r="O213" i="8"/>
  <c r="P213" i="8"/>
  <c r="O217" i="8"/>
  <c r="P217" i="8"/>
  <c r="O221" i="8"/>
  <c r="P221" i="8"/>
  <c r="O224" i="8"/>
  <c r="P224" i="8"/>
  <c r="O228" i="8"/>
  <c r="P228" i="8"/>
  <c r="O233" i="8"/>
  <c r="P233" i="8"/>
  <c r="O239" i="8"/>
  <c r="P239" i="8"/>
  <c r="O243" i="8"/>
  <c r="P243" i="8"/>
  <c r="O248" i="8"/>
  <c r="P248" i="8"/>
  <c r="O252" i="8"/>
  <c r="P252" i="8"/>
  <c r="O256" i="8"/>
  <c r="P256" i="8"/>
  <c r="O260" i="8"/>
  <c r="P260" i="8"/>
  <c r="O264" i="8"/>
  <c r="P264" i="8"/>
  <c r="O272" i="8"/>
  <c r="P272" i="8"/>
  <c r="O276" i="8"/>
  <c r="P276" i="8"/>
  <c r="O281" i="8"/>
  <c r="P281" i="8"/>
  <c r="O285" i="8"/>
  <c r="P285" i="8"/>
  <c r="O288" i="8"/>
  <c r="P288" i="8"/>
  <c r="O294" i="8"/>
  <c r="P294" i="8"/>
  <c r="O298" i="8"/>
  <c r="P298" i="8"/>
  <c r="O302" i="8"/>
  <c r="P302" i="8"/>
  <c r="O306" i="8"/>
  <c r="P306" i="8"/>
  <c r="O310" i="8"/>
  <c r="P310" i="8"/>
  <c r="O317" i="8"/>
  <c r="P317" i="8"/>
  <c r="O324" i="8"/>
  <c r="P324" i="8"/>
  <c r="O328" i="8"/>
  <c r="P328" i="8"/>
  <c r="O333" i="8"/>
  <c r="P333" i="8"/>
  <c r="O337" i="8"/>
  <c r="P337" i="8"/>
  <c r="O341" i="8"/>
  <c r="P341" i="8"/>
  <c r="O345" i="8"/>
  <c r="P345" i="8"/>
  <c r="O350" i="8"/>
  <c r="P350" i="8"/>
  <c r="O355" i="8"/>
  <c r="P355" i="8"/>
  <c r="O359" i="8"/>
  <c r="P359" i="8"/>
  <c r="O369" i="8"/>
  <c r="P369" i="8"/>
  <c r="O373" i="8"/>
  <c r="P373" i="8"/>
  <c r="O377" i="8"/>
  <c r="P377" i="8"/>
  <c r="O382" i="8"/>
  <c r="P382" i="8"/>
  <c r="O386" i="8"/>
  <c r="P386" i="8"/>
  <c r="O390" i="8"/>
  <c r="P390" i="8"/>
  <c r="O394" i="8"/>
  <c r="P394" i="8"/>
  <c r="O398" i="8"/>
  <c r="P398" i="8"/>
  <c r="O402" i="8"/>
  <c r="P402" i="8"/>
  <c r="O403" i="8"/>
  <c r="P403" i="8"/>
  <c r="O407" i="8"/>
  <c r="P407" i="8"/>
  <c r="O411" i="8"/>
  <c r="P411" i="8"/>
  <c r="O415" i="8"/>
  <c r="P415" i="8"/>
  <c r="O417" i="8"/>
  <c r="P417" i="8"/>
  <c r="O421" i="8"/>
  <c r="P421" i="8"/>
  <c r="O425" i="8"/>
  <c r="P425" i="8"/>
  <c r="O429" i="8"/>
  <c r="P429" i="8"/>
  <c r="O435" i="8"/>
  <c r="P435" i="8"/>
  <c r="O439" i="8"/>
  <c r="P439" i="8"/>
  <c r="O442" i="8"/>
  <c r="P442" i="8"/>
  <c r="O446" i="8"/>
  <c r="P446" i="8"/>
  <c r="O450" i="8"/>
  <c r="P450" i="8"/>
  <c r="O456" i="8"/>
  <c r="P456" i="8"/>
  <c r="O461" i="8"/>
  <c r="P461" i="8"/>
  <c r="O465" i="8"/>
  <c r="P465" i="8"/>
  <c r="O469" i="8"/>
  <c r="P469" i="8"/>
  <c r="O473" i="8"/>
  <c r="P473" i="8"/>
  <c r="O474" i="8"/>
  <c r="P474" i="8"/>
  <c r="O478" i="8"/>
  <c r="P478" i="8"/>
  <c r="O482" i="8"/>
  <c r="P482" i="8"/>
  <c r="O486" i="8"/>
  <c r="P486" i="8"/>
  <c r="O492" i="8"/>
  <c r="P492" i="8"/>
  <c r="O496" i="8"/>
  <c r="P496" i="8"/>
  <c r="O500" i="8"/>
  <c r="P500" i="8"/>
  <c r="O504" i="8"/>
  <c r="P504" i="8"/>
  <c r="O508" i="8"/>
  <c r="P508" i="8"/>
  <c r="O512" i="8"/>
  <c r="P512" i="8"/>
  <c r="O516" i="8"/>
  <c r="P516" i="8"/>
  <c r="O522" i="8"/>
  <c r="P522" i="8"/>
  <c r="O528" i="8"/>
  <c r="P528" i="8"/>
  <c r="O533" i="8"/>
  <c r="P533" i="8"/>
  <c r="O534" i="8"/>
  <c r="P534" i="8"/>
  <c r="O538" i="8"/>
  <c r="P538" i="8"/>
  <c r="O543" i="8"/>
  <c r="P543" i="8"/>
  <c r="O550" i="8"/>
  <c r="P550" i="8"/>
  <c r="O3" i="8"/>
  <c r="P3" i="8"/>
  <c r="O19" i="8"/>
  <c r="P19" i="8"/>
  <c r="O31" i="8"/>
  <c r="P31" i="8"/>
  <c r="O43" i="8"/>
  <c r="P43" i="8"/>
  <c r="O55" i="8"/>
  <c r="P55" i="8"/>
  <c r="O63" i="8"/>
  <c r="P63" i="8"/>
  <c r="O75" i="8"/>
  <c r="P75" i="8"/>
  <c r="O91" i="8"/>
  <c r="P91" i="8"/>
  <c r="O103" i="8"/>
  <c r="P103" i="8"/>
  <c r="O115" i="8"/>
  <c r="P115" i="8"/>
  <c r="O127" i="8"/>
  <c r="P127" i="8"/>
  <c r="O131" i="8"/>
  <c r="P131" i="8"/>
  <c r="O143" i="8"/>
  <c r="P143" i="8"/>
  <c r="O155" i="8"/>
  <c r="P155" i="8"/>
  <c r="O167" i="8"/>
  <c r="P167" i="8"/>
  <c r="O179" i="8"/>
  <c r="P179" i="8"/>
  <c r="O191" i="8"/>
  <c r="P191" i="8"/>
  <c r="O203" i="8"/>
  <c r="P203" i="8"/>
  <c r="O215" i="8"/>
  <c r="P215" i="8"/>
  <c r="O226" i="8"/>
  <c r="P226" i="8"/>
  <c r="O241" i="8"/>
  <c r="P241" i="8"/>
  <c r="O250" i="8"/>
  <c r="P250" i="8"/>
  <c r="O270" i="8"/>
  <c r="P270" i="8"/>
  <c r="O287" i="8"/>
  <c r="P287" i="8"/>
  <c r="O300" i="8"/>
  <c r="P300" i="8"/>
  <c r="O308" i="8"/>
  <c r="P308" i="8"/>
  <c r="O343" i="8"/>
  <c r="P343" i="8"/>
  <c r="O357" i="8"/>
  <c r="P357" i="8"/>
  <c r="O380" i="8"/>
  <c r="P380" i="8"/>
  <c r="O392" i="8"/>
  <c r="P392" i="8"/>
  <c r="O405" i="8"/>
  <c r="P405" i="8"/>
  <c r="O413" i="8"/>
  <c r="P413" i="8"/>
  <c r="O423" i="8"/>
  <c r="P423" i="8"/>
  <c r="O437" i="8"/>
  <c r="P437" i="8"/>
  <c r="O440" i="8"/>
  <c r="P440" i="8"/>
  <c r="O451" i="8"/>
  <c r="P451" i="8"/>
  <c r="O463" i="8"/>
  <c r="P463" i="8"/>
  <c r="O471" i="8"/>
  <c r="P471" i="8"/>
  <c r="O480" i="8"/>
  <c r="P480" i="8"/>
  <c r="O488" i="8"/>
  <c r="P488" i="8"/>
  <c r="O498" i="8"/>
  <c r="P498" i="8"/>
  <c r="O510" i="8"/>
  <c r="P510" i="8"/>
  <c r="O526" i="8"/>
  <c r="P526" i="8"/>
  <c r="O6" i="8"/>
  <c r="P6" i="8"/>
  <c r="O10" i="8"/>
  <c r="P10" i="8"/>
  <c r="O14" i="8"/>
  <c r="P14" i="8"/>
  <c r="O18" i="8"/>
  <c r="P18" i="8"/>
  <c r="O22" i="8"/>
  <c r="P22" i="8"/>
  <c r="O26" i="8"/>
  <c r="P26" i="8"/>
  <c r="O30" i="8"/>
  <c r="P30" i="8"/>
  <c r="O34" i="8"/>
  <c r="P34" i="8"/>
  <c r="O38" i="8"/>
  <c r="P38" i="8"/>
  <c r="O42" i="8"/>
  <c r="P42" i="8"/>
  <c r="O46" i="8"/>
  <c r="P46" i="8"/>
  <c r="O50" i="8"/>
  <c r="P50" i="8"/>
  <c r="O54" i="8"/>
  <c r="P54" i="8"/>
  <c r="O58" i="8"/>
  <c r="P58" i="8"/>
  <c r="O62" i="8"/>
  <c r="P62" i="8"/>
  <c r="O66" i="8"/>
  <c r="P66" i="8"/>
  <c r="O70" i="8"/>
  <c r="P70" i="8"/>
  <c r="O74" i="8"/>
  <c r="P74" i="8"/>
  <c r="O78" i="8"/>
  <c r="P78" i="8"/>
  <c r="O82" i="8"/>
  <c r="P82" i="8"/>
  <c r="O86" i="8"/>
  <c r="P86" i="8"/>
  <c r="O90" i="8"/>
  <c r="P90" i="8"/>
  <c r="O94" i="8"/>
  <c r="P94" i="8"/>
  <c r="O98" i="8"/>
  <c r="P98" i="8"/>
  <c r="O102" i="8"/>
  <c r="P102" i="8"/>
  <c r="O106" i="8"/>
  <c r="P106" i="8"/>
  <c r="O110" i="8"/>
  <c r="P110" i="8"/>
  <c r="O114" i="8"/>
  <c r="P114" i="8"/>
  <c r="O118" i="8"/>
  <c r="P118" i="8"/>
  <c r="O122" i="8"/>
  <c r="P122" i="8"/>
  <c r="O126" i="8"/>
  <c r="P126" i="8"/>
  <c r="O130" i="8"/>
  <c r="P130" i="8"/>
  <c r="O134" i="8"/>
  <c r="P134" i="8"/>
  <c r="O138" i="8"/>
  <c r="P138" i="8"/>
  <c r="O142" i="8"/>
  <c r="P142" i="8"/>
  <c r="O146" i="8"/>
  <c r="P146" i="8"/>
  <c r="O150" i="8"/>
  <c r="P150" i="8"/>
  <c r="O154" i="8"/>
  <c r="P154" i="8"/>
  <c r="O158" i="8"/>
  <c r="P158" i="8"/>
  <c r="O162" i="8"/>
  <c r="P162" i="8"/>
  <c r="O166" i="8"/>
  <c r="P166" i="8"/>
  <c r="O170" i="8"/>
  <c r="P170" i="8"/>
  <c r="O174" i="8"/>
  <c r="P174" i="8"/>
  <c r="O178" i="8"/>
  <c r="P178" i="8"/>
  <c r="O182" i="8"/>
  <c r="P182" i="8"/>
  <c r="O186" i="8"/>
  <c r="P186" i="8"/>
  <c r="O190" i="8"/>
  <c r="P190" i="8"/>
  <c r="O194" i="8"/>
  <c r="P194" i="8"/>
  <c r="O198" i="8"/>
  <c r="P198" i="8"/>
  <c r="O202" i="8"/>
  <c r="P202" i="8"/>
  <c r="O206" i="8"/>
  <c r="P206" i="8"/>
  <c r="O210" i="8"/>
  <c r="P210" i="8"/>
  <c r="O214" i="8"/>
  <c r="P214" i="8"/>
  <c r="O218" i="8"/>
  <c r="P218" i="8"/>
  <c r="O222" i="8"/>
  <c r="P222" i="8"/>
  <c r="O225" i="8"/>
  <c r="P225" i="8"/>
  <c r="O229" i="8"/>
  <c r="P229" i="8"/>
  <c r="O234" i="8"/>
  <c r="P234" i="8"/>
  <c r="O240" i="8"/>
  <c r="P240" i="8"/>
  <c r="O245" i="8"/>
  <c r="P245" i="8"/>
  <c r="O249" i="8"/>
  <c r="P249" i="8"/>
  <c r="O253" i="8"/>
  <c r="P253" i="8"/>
  <c r="O257" i="8"/>
  <c r="P257" i="8"/>
  <c r="O261" i="8"/>
  <c r="P261" i="8"/>
  <c r="O267" i="8"/>
  <c r="P267" i="8"/>
  <c r="O273" i="8"/>
  <c r="P273" i="8"/>
  <c r="O277" i="8"/>
  <c r="P277" i="8"/>
  <c r="O282" i="8"/>
  <c r="P282" i="8"/>
  <c r="O286" i="8"/>
  <c r="P286" i="8"/>
  <c r="O289" i="8"/>
  <c r="P289" i="8"/>
  <c r="O295" i="8"/>
  <c r="P295" i="8"/>
  <c r="O299" i="8"/>
  <c r="P299" i="8"/>
  <c r="O303" i="8"/>
  <c r="P303" i="8"/>
  <c r="O307" i="8"/>
  <c r="P307" i="8"/>
  <c r="O311" i="8"/>
  <c r="P311" i="8"/>
  <c r="O325" i="8"/>
  <c r="P325" i="8"/>
  <c r="O329" i="8"/>
  <c r="P329" i="8"/>
  <c r="O334" i="8"/>
  <c r="P334" i="8"/>
  <c r="O338" i="8"/>
  <c r="P338" i="8"/>
  <c r="O342" i="8"/>
  <c r="P342" i="8"/>
  <c r="O347" i="8"/>
  <c r="P347" i="8"/>
  <c r="O351" i="8"/>
  <c r="P351" i="8"/>
  <c r="O356" i="8"/>
  <c r="P356" i="8"/>
  <c r="O360" i="8"/>
  <c r="P360" i="8"/>
  <c r="O370" i="8"/>
  <c r="P370" i="8"/>
  <c r="O374" i="8"/>
  <c r="P374" i="8"/>
  <c r="O378" i="8"/>
  <c r="P378" i="8"/>
  <c r="O379" i="8"/>
  <c r="P379" i="8"/>
  <c r="O383" i="8"/>
  <c r="P383" i="8"/>
  <c r="O387" i="8"/>
  <c r="P387" i="8"/>
  <c r="O391" i="8"/>
  <c r="P391" i="8"/>
  <c r="O395" i="8"/>
  <c r="P395" i="8"/>
  <c r="O399" i="8"/>
  <c r="P399" i="8"/>
  <c r="O404" i="8"/>
  <c r="P404" i="8"/>
  <c r="O408" i="8"/>
  <c r="P408" i="8"/>
  <c r="O412" i="8"/>
  <c r="P412" i="8"/>
  <c r="O418" i="8"/>
  <c r="P418" i="8"/>
  <c r="O422" i="8"/>
  <c r="P422" i="8"/>
  <c r="O426" i="8"/>
  <c r="P426" i="8"/>
  <c r="O430" i="8"/>
  <c r="P430" i="8"/>
  <c r="O436" i="8"/>
  <c r="P436" i="8"/>
  <c r="O443" i="8"/>
  <c r="P443" i="8"/>
  <c r="O447" i="8"/>
  <c r="P447" i="8"/>
  <c r="O453" i="8"/>
  <c r="P453" i="8"/>
  <c r="O457" i="8"/>
  <c r="P457" i="8"/>
  <c r="O462" i="8"/>
  <c r="P462" i="8"/>
  <c r="O466" i="8"/>
  <c r="P466" i="8"/>
  <c r="O470" i="8"/>
  <c r="P470" i="8"/>
  <c r="O475" i="8"/>
  <c r="P475" i="8"/>
  <c r="O479" i="8"/>
  <c r="P479" i="8"/>
  <c r="O487" i="8"/>
  <c r="P487" i="8"/>
  <c r="O493" i="8"/>
  <c r="P493" i="8"/>
  <c r="O497" i="8"/>
  <c r="P497" i="8"/>
  <c r="O501" i="8"/>
  <c r="P501" i="8"/>
  <c r="O505" i="8"/>
  <c r="P505" i="8"/>
  <c r="O509" i="8"/>
  <c r="P509" i="8"/>
  <c r="O513" i="8"/>
  <c r="P513" i="8"/>
  <c r="O514" i="8"/>
  <c r="P514" i="8"/>
  <c r="O517" i="8"/>
  <c r="P517" i="8"/>
  <c r="O523" i="8"/>
  <c r="P523" i="8"/>
  <c r="O529" i="8"/>
  <c r="P529" i="8"/>
  <c r="O535" i="8"/>
  <c r="P535" i="8"/>
  <c r="O540" i="8"/>
  <c r="P540" i="8"/>
  <c r="O544" i="8"/>
  <c r="P544" i="8"/>
  <c r="O551" i="8"/>
  <c r="P551" i="8"/>
  <c r="O2" i="8"/>
  <c r="P2" i="8"/>
  <c r="I3" i="8"/>
  <c r="K3" i="8"/>
  <c r="L3" i="8"/>
  <c r="M3" i="8"/>
  <c r="I4" i="8"/>
  <c r="K4" i="8"/>
  <c r="L4" i="8"/>
  <c r="M4" i="8"/>
  <c r="I5" i="8"/>
  <c r="K5" i="8"/>
  <c r="L5" i="8"/>
  <c r="M5" i="8"/>
  <c r="I6" i="8"/>
  <c r="K6" i="8"/>
  <c r="L6" i="8"/>
  <c r="M6" i="8"/>
  <c r="I7" i="8"/>
  <c r="K7" i="8"/>
  <c r="L7" i="8"/>
  <c r="M7" i="8"/>
  <c r="I8" i="8"/>
  <c r="K8" i="8"/>
  <c r="L8" i="8"/>
  <c r="M8" i="8"/>
  <c r="I9" i="8"/>
  <c r="K9" i="8"/>
  <c r="L9" i="8"/>
  <c r="M9" i="8"/>
  <c r="I10" i="8"/>
  <c r="K10" i="8"/>
  <c r="L10" i="8"/>
  <c r="M10" i="8"/>
  <c r="I11" i="8"/>
  <c r="K11" i="8"/>
  <c r="L11" i="8"/>
  <c r="M11" i="8"/>
  <c r="I13" i="8"/>
  <c r="K13" i="8"/>
  <c r="L13" i="8"/>
  <c r="M13" i="8"/>
  <c r="I14" i="8"/>
  <c r="K14" i="8"/>
  <c r="L14" i="8"/>
  <c r="M14" i="8"/>
  <c r="I15" i="8"/>
  <c r="K15" i="8"/>
  <c r="L15" i="8"/>
  <c r="M15" i="8"/>
  <c r="I16" i="8"/>
  <c r="K16" i="8"/>
  <c r="L16" i="8"/>
  <c r="M16" i="8"/>
  <c r="I17" i="8"/>
  <c r="K17" i="8"/>
  <c r="L17" i="8"/>
  <c r="M17" i="8"/>
  <c r="I18" i="8"/>
  <c r="K18" i="8"/>
  <c r="L18" i="8"/>
  <c r="M18" i="8"/>
  <c r="I19" i="8"/>
  <c r="K19" i="8"/>
  <c r="L19" i="8"/>
  <c r="M19" i="8"/>
  <c r="I20" i="8"/>
  <c r="K20" i="8"/>
  <c r="L20" i="8"/>
  <c r="M20" i="8"/>
  <c r="I21" i="8"/>
  <c r="K21" i="8"/>
  <c r="L21" i="8"/>
  <c r="M21" i="8"/>
  <c r="I22" i="8"/>
  <c r="K22" i="8"/>
  <c r="L22" i="8"/>
  <c r="M22" i="8"/>
  <c r="I23" i="8"/>
  <c r="K23" i="8"/>
  <c r="L23" i="8"/>
  <c r="M23" i="8"/>
  <c r="I24" i="8"/>
  <c r="K24" i="8"/>
  <c r="L24" i="8"/>
  <c r="M24" i="8"/>
  <c r="I25" i="8"/>
  <c r="K25" i="8"/>
  <c r="L25" i="8"/>
  <c r="M25" i="8"/>
  <c r="I26" i="8"/>
  <c r="K26" i="8"/>
  <c r="L26" i="8"/>
  <c r="M26" i="8"/>
  <c r="I27" i="8"/>
  <c r="K27" i="8"/>
  <c r="L27" i="8"/>
  <c r="M27" i="8"/>
  <c r="I28" i="8"/>
  <c r="K28" i="8"/>
  <c r="L28" i="8"/>
  <c r="M28" i="8"/>
  <c r="I29" i="8"/>
  <c r="K29" i="8"/>
  <c r="L29" i="8"/>
  <c r="M29" i="8"/>
  <c r="I30" i="8"/>
  <c r="K30" i="8"/>
  <c r="L30" i="8"/>
  <c r="M30" i="8"/>
  <c r="I31" i="8"/>
  <c r="K31" i="8"/>
  <c r="L31" i="8"/>
  <c r="M31" i="8"/>
  <c r="I32" i="8"/>
  <c r="K32" i="8"/>
  <c r="L32" i="8"/>
  <c r="M32" i="8"/>
  <c r="I33" i="8"/>
  <c r="K33" i="8"/>
  <c r="L33" i="8"/>
  <c r="M33" i="8"/>
  <c r="I34" i="8"/>
  <c r="K34" i="8"/>
  <c r="L34" i="8"/>
  <c r="M34" i="8"/>
  <c r="I35" i="8"/>
  <c r="K35" i="8"/>
  <c r="M35" i="8"/>
  <c r="I36" i="8"/>
  <c r="K36" i="8"/>
  <c r="L36" i="8"/>
  <c r="M36" i="8"/>
  <c r="I37" i="8"/>
  <c r="K37" i="8"/>
  <c r="L37" i="8"/>
  <c r="M37" i="8"/>
  <c r="I38" i="8"/>
  <c r="K38" i="8"/>
  <c r="L38" i="8"/>
  <c r="M38" i="8"/>
  <c r="I39" i="8"/>
  <c r="K39" i="8"/>
  <c r="L39" i="8"/>
  <c r="M39" i="8"/>
  <c r="I40" i="8"/>
  <c r="K40" i="8"/>
  <c r="L40" i="8"/>
  <c r="M40" i="8"/>
  <c r="I41" i="8"/>
  <c r="K41" i="8"/>
  <c r="L41" i="8"/>
  <c r="M41" i="8"/>
  <c r="I42" i="8"/>
  <c r="K42" i="8"/>
  <c r="L42" i="8"/>
  <c r="M42" i="8"/>
  <c r="I43" i="8"/>
  <c r="K43" i="8"/>
  <c r="L43" i="8"/>
  <c r="M43" i="8"/>
  <c r="I44" i="8"/>
  <c r="K44" i="8"/>
  <c r="L44" i="8"/>
  <c r="M44" i="8"/>
  <c r="I45" i="8"/>
  <c r="K45" i="8"/>
  <c r="L45" i="8"/>
  <c r="M45" i="8"/>
  <c r="I46" i="8"/>
  <c r="K46" i="8"/>
  <c r="L46" i="8"/>
  <c r="M46" i="8"/>
  <c r="I47" i="8"/>
  <c r="K47" i="8"/>
  <c r="L47" i="8"/>
  <c r="M47" i="8"/>
  <c r="I48" i="8"/>
  <c r="K48" i="8"/>
  <c r="L48" i="8"/>
  <c r="M48" i="8"/>
  <c r="I49" i="8"/>
  <c r="K49" i="8"/>
  <c r="L49" i="8"/>
  <c r="M49" i="8"/>
  <c r="I50" i="8"/>
  <c r="K50" i="8"/>
  <c r="L50" i="8"/>
  <c r="M50" i="8"/>
  <c r="I51" i="8"/>
  <c r="K51" i="8"/>
  <c r="L51" i="8"/>
  <c r="M51" i="8"/>
  <c r="I52" i="8"/>
  <c r="K52" i="8"/>
  <c r="L52" i="8"/>
  <c r="M52" i="8"/>
  <c r="I53" i="8"/>
  <c r="K53" i="8"/>
  <c r="L53" i="8"/>
  <c r="M53" i="8"/>
  <c r="I54" i="8"/>
  <c r="K54" i="8"/>
  <c r="L54" i="8"/>
  <c r="M54" i="8"/>
  <c r="I55" i="8"/>
  <c r="K55" i="8"/>
  <c r="L55" i="8"/>
  <c r="M55" i="8"/>
  <c r="I56" i="8"/>
  <c r="K56" i="8"/>
  <c r="L56" i="8"/>
  <c r="M56" i="8"/>
  <c r="I57" i="8"/>
  <c r="K57" i="8"/>
  <c r="L57" i="8"/>
  <c r="M57" i="8"/>
  <c r="I58" i="8"/>
  <c r="K58" i="8"/>
  <c r="L58" i="8"/>
  <c r="M58" i="8"/>
  <c r="I59" i="8"/>
  <c r="K59" i="8"/>
  <c r="L59" i="8"/>
  <c r="M59" i="8"/>
  <c r="I60" i="8"/>
  <c r="K60" i="8"/>
  <c r="L60" i="8"/>
  <c r="M60" i="8"/>
  <c r="I61" i="8"/>
  <c r="K61" i="8"/>
  <c r="L61" i="8"/>
  <c r="M61" i="8"/>
  <c r="I62" i="8"/>
  <c r="K62" i="8"/>
  <c r="L62" i="8"/>
  <c r="M62" i="8"/>
  <c r="I63" i="8"/>
  <c r="K63" i="8"/>
  <c r="L63" i="8"/>
  <c r="M63" i="8"/>
  <c r="I64" i="8"/>
  <c r="K64" i="8"/>
  <c r="L64" i="8"/>
  <c r="M64" i="8"/>
  <c r="I65" i="8"/>
  <c r="K65" i="8"/>
  <c r="L65" i="8"/>
  <c r="M65" i="8"/>
  <c r="I66" i="8"/>
  <c r="K66" i="8"/>
  <c r="L66" i="8"/>
  <c r="M66" i="8"/>
  <c r="I67" i="8"/>
  <c r="K67" i="8"/>
  <c r="L67" i="8"/>
  <c r="M67" i="8"/>
  <c r="I68" i="8"/>
  <c r="K68" i="8"/>
  <c r="L68" i="8"/>
  <c r="M68" i="8"/>
  <c r="I69" i="8"/>
  <c r="K69" i="8"/>
  <c r="L69" i="8"/>
  <c r="M69" i="8"/>
  <c r="I70" i="8"/>
  <c r="K70" i="8"/>
  <c r="L70" i="8"/>
  <c r="M70" i="8"/>
  <c r="I71" i="8"/>
  <c r="K71" i="8"/>
  <c r="L71" i="8"/>
  <c r="M71" i="8"/>
  <c r="I72" i="8"/>
  <c r="K72" i="8"/>
  <c r="L72" i="8"/>
  <c r="M72" i="8"/>
  <c r="I73" i="8"/>
  <c r="K73" i="8"/>
  <c r="L73" i="8"/>
  <c r="M73" i="8"/>
  <c r="I74" i="8"/>
  <c r="K74" i="8"/>
  <c r="L74" i="8"/>
  <c r="M74" i="8"/>
  <c r="I75" i="8"/>
  <c r="K75" i="8"/>
  <c r="L75" i="8"/>
  <c r="M75" i="8"/>
  <c r="I76" i="8"/>
  <c r="K76" i="8"/>
  <c r="L76" i="8"/>
  <c r="M76" i="8"/>
  <c r="I77" i="8"/>
  <c r="K77" i="8"/>
  <c r="L77" i="8"/>
  <c r="M77" i="8"/>
  <c r="I78" i="8"/>
  <c r="K78" i="8"/>
  <c r="L78" i="8"/>
  <c r="M78" i="8"/>
  <c r="I79" i="8"/>
  <c r="K79" i="8"/>
  <c r="L79" i="8"/>
  <c r="M79" i="8"/>
  <c r="I80" i="8"/>
  <c r="K80" i="8"/>
  <c r="L80" i="8"/>
  <c r="M80" i="8"/>
  <c r="I81" i="8"/>
  <c r="K81" i="8"/>
  <c r="L81" i="8"/>
  <c r="M81" i="8"/>
  <c r="I82" i="8"/>
  <c r="K82" i="8"/>
  <c r="L82" i="8"/>
  <c r="M82" i="8"/>
  <c r="I83" i="8"/>
  <c r="K83" i="8"/>
  <c r="L83" i="8"/>
  <c r="M83" i="8"/>
  <c r="I84" i="8"/>
  <c r="K84" i="8"/>
  <c r="L84" i="8"/>
  <c r="M84" i="8"/>
  <c r="I85" i="8"/>
  <c r="K85" i="8"/>
  <c r="L85" i="8"/>
  <c r="M85" i="8"/>
  <c r="I86" i="8"/>
  <c r="K86" i="8"/>
  <c r="L86" i="8"/>
  <c r="M86" i="8"/>
  <c r="I87" i="8"/>
  <c r="K87" i="8"/>
  <c r="L87" i="8"/>
  <c r="M87" i="8"/>
  <c r="I88" i="8"/>
  <c r="K88" i="8"/>
  <c r="L88" i="8"/>
  <c r="M88" i="8"/>
  <c r="I89" i="8"/>
  <c r="K89" i="8"/>
  <c r="L89" i="8"/>
  <c r="M89" i="8"/>
  <c r="I90" i="8"/>
  <c r="K90" i="8"/>
  <c r="L90" i="8"/>
  <c r="M90" i="8"/>
  <c r="I91" i="8"/>
  <c r="K91" i="8"/>
  <c r="L91" i="8"/>
  <c r="M91" i="8"/>
  <c r="I92" i="8"/>
  <c r="K92" i="8"/>
  <c r="L92" i="8"/>
  <c r="M92" i="8"/>
  <c r="I93" i="8"/>
  <c r="K93" i="8"/>
  <c r="L93" i="8"/>
  <c r="M93" i="8"/>
  <c r="I94" i="8"/>
  <c r="K94" i="8"/>
  <c r="L94" i="8"/>
  <c r="M94" i="8"/>
  <c r="I95" i="8"/>
  <c r="K95" i="8"/>
  <c r="L95" i="8"/>
  <c r="M95" i="8"/>
  <c r="I96" i="8"/>
  <c r="K96" i="8"/>
  <c r="L96" i="8"/>
  <c r="M96" i="8"/>
  <c r="I97" i="8"/>
  <c r="K97" i="8"/>
  <c r="L97" i="8"/>
  <c r="M97" i="8"/>
  <c r="I98" i="8"/>
  <c r="K98" i="8"/>
  <c r="L98" i="8"/>
  <c r="M98" i="8"/>
  <c r="I99" i="8"/>
  <c r="K99" i="8"/>
  <c r="L99" i="8"/>
  <c r="M99" i="8"/>
  <c r="I100" i="8"/>
  <c r="K100" i="8"/>
  <c r="L100" i="8"/>
  <c r="M100" i="8"/>
  <c r="I101" i="8"/>
  <c r="K101" i="8"/>
  <c r="L101" i="8"/>
  <c r="M101" i="8"/>
  <c r="I102" i="8"/>
  <c r="K102" i="8"/>
  <c r="L102" i="8"/>
  <c r="M102" i="8"/>
  <c r="I103" i="8"/>
  <c r="K103" i="8"/>
  <c r="L103" i="8"/>
  <c r="M103" i="8"/>
  <c r="I104" i="8"/>
  <c r="K104" i="8"/>
  <c r="L104" i="8"/>
  <c r="M104" i="8"/>
  <c r="I105" i="8"/>
  <c r="K105" i="8"/>
  <c r="L105" i="8"/>
  <c r="M105" i="8"/>
  <c r="I106" i="8"/>
  <c r="K106" i="8"/>
  <c r="L106" i="8"/>
  <c r="M106" i="8"/>
  <c r="I107" i="8"/>
  <c r="K107" i="8"/>
  <c r="L107" i="8"/>
  <c r="M107" i="8"/>
  <c r="I108" i="8"/>
  <c r="K108" i="8"/>
  <c r="L108" i="8"/>
  <c r="M108" i="8"/>
  <c r="I109" i="8"/>
  <c r="K109" i="8"/>
  <c r="L109" i="8"/>
  <c r="M109" i="8"/>
  <c r="I110" i="8"/>
  <c r="K110" i="8"/>
  <c r="L110" i="8"/>
  <c r="M110" i="8"/>
  <c r="I111" i="8"/>
  <c r="K111" i="8"/>
  <c r="L111" i="8"/>
  <c r="M111" i="8"/>
  <c r="I112" i="8"/>
  <c r="K112" i="8"/>
  <c r="L112" i="8"/>
  <c r="M112" i="8"/>
  <c r="I113" i="8"/>
  <c r="K113" i="8"/>
  <c r="L113" i="8"/>
  <c r="M113" i="8"/>
  <c r="I114" i="8"/>
  <c r="K114" i="8"/>
  <c r="L114" i="8"/>
  <c r="M114" i="8"/>
  <c r="I115" i="8"/>
  <c r="K115" i="8"/>
  <c r="L115" i="8"/>
  <c r="M115" i="8"/>
  <c r="I116" i="8"/>
  <c r="K116" i="8"/>
  <c r="L116" i="8"/>
  <c r="M116" i="8"/>
  <c r="I117" i="8"/>
  <c r="K117" i="8"/>
  <c r="L117" i="8"/>
  <c r="M117" i="8"/>
  <c r="I118" i="8"/>
  <c r="K118" i="8"/>
  <c r="L118" i="8"/>
  <c r="M118" i="8"/>
  <c r="I119" i="8"/>
  <c r="K119" i="8"/>
  <c r="L119" i="8"/>
  <c r="M119" i="8"/>
  <c r="I120" i="8"/>
  <c r="K120" i="8"/>
  <c r="L120" i="8"/>
  <c r="M120" i="8"/>
  <c r="I121" i="8"/>
  <c r="K121" i="8"/>
  <c r="L121" i="8"/>
  <c r="M121" i="8"/>
  <c r="I122" i="8"/>
  <c r="K122" i="8"/>
  <c r="L122" i="8"/>
  <c r="M122" i="8"/>
  <c r="I123" i="8"/>
  <c r="K123" i="8"/>
  <c r="L123" i="8"/>
  <c r="M123" i="8"/>
  <c r="I124" i="8"/>
  <c r="K124" i="8"/>
  <c r="L124" i="8"/>
  <c r="M124" i="8"/>
  <c r="I125" i="8"/>
  <c r="K125" i="8"/>
  <c r="L125" i="8"/>
  <c r="M125" i="8"/>
  <c r="I126" i="8"/>
  <c r="K126" i="8"/>
  <c r="L126" i="8"/>
  <c r="M126" i="8"/>
  <c r="I127" i="8"/>
  <c r="K127" i="8"/>
  <c r="L127" i="8"/>
  <c r="M127" i="8"/>
  <c r="I128" i="8"/>
  <c r="K128" i="8"/>
  <c r="L128" i="8"/>
  <c r="M128" i="8"/>
  <c r="I129" i="8"/>
  <c r="K129" i="8"/>
  <c r="L129" i="8"/>
  <c r="M129" i="8"/>
  <c r="I130" i="8"/>
  <c r="K130" i="8"/>
  <c r="L130" i="8"/>
  <c r="M130" i="8"/>
  <c r="I131" i="8"/>
  <c r="K131" i="8"/>
  <c r="L131" i="8"/>
  <c r="M131" i="8"/>
  <c r="I132" i="8"/>
  <c r="K132" i="8"/>
  <c r="L132" i="8"/>
  <c r="M132" i="8"/>
  <c r="I133" i="8"/>
  <c r="K133" i="8"/>
  <c r="L133" i="8"/>
  <c r="M133" i="8"/>
  <c r="I134" i="8"/>
  <c r="K134" i="8"/>
  <c r="L134" i="8"/>
  <c r="M134" i="8"/>
  <c r="I135" i="8"/>
  <c r="K135" i="8"/>
  <c r="L135" i="8"/>
  <c r="M135" i="8"/>
  <c r="I136" i="8"/>
  <c r="K136" i="8"/>
  <c r="L136" i="8"/>
  <c r="M136" i="8"/>
  <c r="I137" i="8"/>
  <c r="K137" i="8"/>
  <c r="L137" i="8"/>
  <c r="M137" i="8"/>
  <c r="I138" i="8"/>
  <c r="K138" i="8"/>
  <c r="L138" i="8"/>
  <c r="M138" i="8"/>
  <c r="I139" i="8"/>
  <c r="K139" i="8"/>
  <c r="L139" i="8"/>
  <c r="M139" i="8"/>
  <c r="I140" i="8"/>
  <c r="K140" i="8"/>
  <c r="L140" i="8"/>
  <c r="M140" i="8"/>
  <c r="I141" i="8"/>
  <c r="K141" i="8"/>
  <c r="L141" i="8"/>
  <c r="M141" i="8"/>
  <c r="I142" i="8"/>
  <c r="K142" i="8"/>
  <c r="L142" i="8"/>
  <c r="M142" i="8"/>
  <c r="I143" i="8"/>
  <c r="K143" i="8"/>
  <c r="L143" i="8"/>
  <c r="M143" i="8"/>
  <c r="I144" i="8"/>
  <c r="K144" i="8"/>
  <c r="L144" i="8"/>
  <c r="M144" i="8"/>
  <c r="I145" i="8"/>
  <c r="K145" i="8"/>
  <c r="L145" i="8"/>
  <c r="M145" i="8"/>
  <c r="I146" i="8"/>
  <c r="K146" i="8"/>
  <c r="L146" i="8"/>
  <c r="M146" i="8"/>
  <c r="I147" i="8"/>
  <c r="K147" i="8"/>
  <c r="L147" i="8"/>
  <c r="M147" i="8"/>
  <c r="I148" i="8"/>
  <c r="K148" i="8"/>
  <c r="L148" i="8"/>
  <c r="M148" i="8"/>
  <c r="I149" i="8"/>
  <c r="K149" i="8"/>
  <c r="L149" i="8"/>
  <c r="M149" i="8"/>
  <c r="I150" i="8"/>
  <c r="K150" i="8"/>
  <c r="L150" i="8"/>
  <c r="M150" i="8"/>
  <c r="I151" i="8"/>
  <c r="K151" i="8"/>
  <c r="L151" i="8"/>
  <c r="M151" i="8"/>
  <c r="I152" i="8"/>
  <c r="K152" i="8"/>
  <c r="L152" i="8"/>
  <c r="M152" i="8"/>
  <c r="I153" i="8"/>
  <c r="K153" i="8"/>
  <c r="L153" i="8"/>
  <c r="M153" i="8"/>
  <c r="I154" i="8"/>
  <c r="K154" i="8"/>
  <c r="L154" i="8"/>
  <c r="M154" i="8"/>
  <c r="I155" i="8"/>
  <c r="K155" i="8"/>
  <c r="L155" i="8"/>
  <c r="M155" i="8"/>
  <c r="I156" i="8"/>
  <c r="K156" i="8"/>
  <c r="L156" i="8"/>
  <c r="M156" i="8"/>
  <c r="I157" i="8"/>
  <c r="K157" i="8"/>
  <c r="L157" i="8"/>
  <c r="M157" i="8"/>
  <c r="I158" i="8"/>
  <c r="K158" i="8"/>
  <c r="L158" i="8"/>
  <c r="M158" i="8"/>
  <c r="I159" i="8"/>
  <c r="K159" i="8"/>
  <c r="L159" i="8"/>
  <c r="M159" i="8"/>
  <c r="I160" i="8"/>
  <c r="K160" i="8"/>
  <c r="L160" i="8"/>
  <c r="M160" i="8"/>
  <c r="I161" i="8"/>
  <c r="K161" i="8"/>
  <c r="L161" i="8"/>
  <c r="M161" i="8"/>
  <c r="I162" i="8"/>
  <c r="K162" i="8"/>
  <c r="L162" i="8"/>
  <c r="M162" i="8"/>
  <c r="I163" i="8"/>
  <c r="K163" i="8"/>
  <c r="L163" i="8"/>
  <c r="M163" i="8"/>
  <c r="I164" i="8"/>
  <c r="K164" i="8"/>
  <c r="L164" i="8"/>
  <c r="M164" i="8"/>
  <c r="I165" i="8"/>
  <c r="K165" i="8"/>
  <c r="L165" i="8"/>
  <c r="M165" i="8"/>
  <c r="I166" i="8"/>
  <c r="K166" i="8"/>
  <c r="L166" i="8"/>
  <c r="M166" i="8"/>
  <c r="I167" i="8"/>
  <c r="K167" i="8"/>
  <c r="L167" i="8"/>
  <c r="M167" i="8"/>
  <c r="I168" i="8"/>
  <c r="K168" i="8"/>
  <c r="L168" i="8"/>
  <c r="M168" i="8"/>
  <c r="I169" i="8"/>
  <c r="K169" i="8"/>
  <c r="L169" i="8"/>
  <c r="M169" i="8"/>
  <c r="I170" i="8"/>
  <c r="K170" i="8"/>
  <c r="L170" i="8"/>
  <c r="M170" i="8"/>
  <c r="I171" i="8"/>
  <c r="K171" i="8"/>
  <c r="L171" i="8"/>
  <c r="M171" i="8"/>
  <c r="I172" i="8"/>
  <c r="K172" i="8"/>
  <c r="L172" i="8"/>
  <c r="M172" i="8"/>
  <c r="I173" i="8"/>
  <c r="K173" i="8"/>
  <c r="L173" i="8"/>
  <c r="M173" i="8"/>
  <c r="I174" i="8"/>
  <c r="K174" i="8"/>
  <c r="L174" i="8"/>
  <c r="M174" i="8"/>
  <c r="I175" i="8"/>
  <c r="K175" i="8"/>
  <c r="L175" i="8"/>
  <c r="M175" i="8"/>
  <c r="I176" i="8"/>
  <c r="K176" i="8"/>
  <c r="L176" i="8"/>
  <c r="M176" i="8"/>
  <c r="I177" i="8"/>
  <c r="K177" i="8"/>
  <c r="L177" i="8"/>
  <c r="M177" i="8"/>
  <c r="I178" i="8"/>
  <c r="K178" i="8"/>
  <c r="L178" i="8"/>
  <c r="M178" i="8"/>
  <c r="I179" i="8"/>
  <c r="K179" i="8"/>
  <c r="L179" i="8"/>
  <c r="M179" i="8"/>
  <c r="I180" i="8"/>
  <c r="K180" i="8"/>
  <c r="L180" i="8"/>
  <c r="M180" i="8"/>
  <c r="I181" i="8"/>
  <c r="K181" i="8"/>
  <c r="L181" i="8"/>
  <c r="M181" i="8"/>
  <c r="I182" i="8"/>
  <c r="K182" i="8"/>
  <c r="L182" i="8"/>
  <c r="M182" i="8"/>
  <c r="I183" i="8"/>
  <c r="K183" i="8"/>
  <c r="L183" i="8"/>
  <c r="M183" i="8"/>
  <c r="I184" i="8"/>
  <c r="K184" i="8"/>
  <c r="L184" i="8"/>
  <c r="M184" i="8"/>
  <c r="I185" i="8"/>
  <c r="K185" i="8"/>
  <c r="L185" i="8"/>
  <c r="M185" i="8"/>
  <c r="I186" i="8"/>
  <c r="K186" i="8"/>
  <c r="L186" i="8"/>
  <c r="M186" i="8"/>
  <c r="I187" i="8"/>
  <c r="K187" i="8"/>
  <c r="L187" i="8"/>
  <c r="M187" i="8"/>
  <c r="I188" i="8"/>
  <c r="K188" i="8"/>
  <c r="L188" i="8"/>
  <c r="M188" i="8"/>
  <c r="I189" i="8"/>
  <c r="K189" i="8"/>
  <c r="L189" i="8"/>
  <c r="M189" i="8"/>
  <c r="I190" i="8"/>
  <c r="K190" i="8"/>
  <c r="L190" i="8"/>
  <c r="M190" i="8"/>
  <c r="I191" i="8"/>
  <c r="K191" i="8"/>
  <c r="L191" i="8"/>
  <c r="M191" i="8"/>
  <c r="I192" i="8"/>
  <c r="K192" i="8"/>
  <c r="L192" i="8"/>
  <c r="M192" i="8"/>
  <c r="I193" i="8"/>
  <c r="K193" i="8"/>
  <c r="L193" i="8"/>
  <c r="M193" i="8"/>
  <c r="I194" i="8"/>
  <c r="K194" i="8"/>
  <c r="L194" i="8"/>
  <c r="M194" i="8"/>
  <c r="I195" i="8"/>
  <c r="K195" i="8"/>
  <c r="L195" i="8"/>
  <c r="M195" i="8"/>
  <c r="I196" i="8"/>
  <c r="K196" i="8"/>
  <c r="L196" i="8"/>
  <c r="M196" i="8"/>
  <c r="I197" i="8"/>
  <c r="K197" i="8"/>
  <c r="L197" i="8"/>
  <c r="M197" i="8"/>
  <c r="I198" i="8"/>
  <c r="K198" i="8"/>
  <c r="L198" i="8"/>
  <c r="M198" i="8"/>
  <c r="I199" i="8"/>
  <c r="K199" i="8"/>
  <c r="L199" i="8"/>
  <c r="M199" i="8"/>
  <c r="I200" i="8"/>
  <c r="K200" i="8"/>
  <c r="L200" i="8"/>
  <c r="M200" i="8"/>
  <c r="I201" i="8"/>
  <c r="K201" i="8"/>
  <c r="L201" i="8"/>
  <c r="M201" i="8"/>
  <c r="I202" i="8"/>
  <c r="K202" i="8"/>
  <c r="L202" i="8"/>
  <c r="M202" i="8"/>
  <c r="I203" i="8"/>
  <c r="K203" i="8"/>
  <c r="L203" i="8"/>
  <c r="M203" i="8"/>
  <c r="I204" i="8"/>
  <c r="K204" i="8"/>
  <c r="L204" i="8"/>
  <c r="M204" i="8"/>
  <c r="I205" i="8"/>
  <c r="K205" i="8"/>
  <c r="L205" i="8"/>
  <c r="M205" i="8"/>
  <c r="I206" i="8"/>
  <c r="K206" i="8"/>
  <c r="L206" i="8"/>
  <c r="M206" i="8"/>
  <c r="I207" i="8"/>
  <c r="K207" i="8"/>
  <c r="L207" i="8"/>
  <c r="M207" i="8"/>
  <c r="I208" i="8"/>
  <c r="K208" i="8"/>
  <c r="L208" i="8"/>
  <c r="M208" i="8"/>
  <c r="I209" i="8"/>
  <c r="K209" i="8"/>
  <c r="L209" i="8"/>
  <c r="M209" i="8"/>
  <c r="I210" i="8"/>
  <c r="K210" i="8"/>
  <c r="L210" i="8"/>
  <c r="M210" i="8"/>
  <c r="I211" i="8"/>
  <c r="K211" i="8"/>
  <c r="L211" i="8"/>
  <c r="M211" i="8"/>
  <c r="I212" i="8"/>
  <c r="K212" i="8"/>
  <c r="L212" i="8"/>
  <c r="M212" i="8"/>
  <c r="I213" i="8"/>
  <c r="K213" i="8"/>
  <c r="L213" i="8"/>
  <c r="M213" i="8"/>
  <c r="I214" i="8"/>
  <c r="K214" i="8"/>
  <c r="L214" i="8"/>
  <c r="M214" i="8"/>
  <c r="I215" i="8"/>
  <c r="K215" i="8"/>
  <c r="L215" i="8"/>
  <c r="M215" i="8"/>
  <c r="I216" i="8"/>
  <c r="M216" i="8"/>
  <c r="I217" i="8"/>
  <c r="K217" i="8"/>
  <c r="L217" i="8"/>
  <c r="M217" i="8"/>
  <c r="I218" i="8"/>
  <c r="K218" i="8"/>
  <c r="L218" i="8"/>
  <c r="M218" i="8"/>
  <c r="I219" i="8"/>
  <c r="K219" i="8"/>
  <c r="L219" i="8"/>
  <c r="M219" i="8"/>
  <c r="I220" i="8"/>
  <c r="K220" i="8"/>
  <c r="L220" i="8"/>
  <c r="M220" i="8"/>
  <c r="I221" i="8"/>
  <c r="K221" i="8"/>
  <c r="L221" i="8"/>
  <c r="M221" i="8"/>
  <c r="I222" i="8"/>
  <c r="K222" i="8"/>
  <c r="L222" i="8"/>
  <c r="M222" i="8"/>
  <c r="I223" i="8"/>
  <c r="K223" i="8"/>
  <c r="L223" i="8"/>
  <c r="M223" i="8"/>
  <c r="I224" i="8"/>
  <c r="K224" i="8"/>
  <c r="L224" i="8"/>
  <c r="M224" i="8"/>
  <c r="I225" i="8"/>
  <c r="K225" i="8"/>
  <c r="L225" i="8"/>
  <c r="M225" i="8"/>
  <c r="I226" i="8"/>
  <c r="K226" i="8"/>
  <c r="L226" i="8"/>
  <c r="M226" i="8"/>
  <c r="I227" i="8"/>
  <c r="K227" i="8"/>
  <c r="L227" i="8"/>
  <c r="M227" i="8"/>
  <c r="I228" i="8"/>
  <c r="K228" i="8"/>
  <c r="L228" i="8"/>
  <c r="M228" i="8"/>
  <c r="I229" i="8"/>
  <c r="K229" i="8"/>
  <c r="L229" i="8"/>
  <c r="M229" i="8"/>
  <c r="K230" i="8"/>
  <c r="L230" i="8"/>
  <c r="M230" i="8"/>
  <c r="K231" i="8"/>
  <c r="L231" i="8"/>
  <c r="M231" i="8"/>
  <c r="I233" i="8"/>
  <c r="K233" i="8"/>
  <c r="L233" i="8"/>
  <c r="M233" i="8"/>
  <c r="I234" i="8"/>
  <c r="K234" i="8"/>
  <c r="L234" i="8"/>
  <c r="M234" i="8"/>
  <c r="I235" i="8"/>
  <c r="K235" i="8"/>
  <c r="L235" i="8"/>
  <c r="M235" i="8"/>
  <c r="K236" i="8"/>
  <c r="L236" i="8"/>
  <c r="M236" i="8"/>
  <c r="I239" i="8"/>
  <c r="K239" i="8"/>
  <c r="L239" i="8"/>
  <c r="M239" i="8"/>
  <c r="I240" i="8"/>
  <c r="K240" i="8"/>
  <c r="L240" i="8"/>
  <c r="M240" i="8"/>
  <c r="K241" i="8"/>
  <c r="L241" i="8"/>
  <c r="M241" i="8"/>
  <c r="K242" i="8"/>
  <c r="L242" i="8"/>
  <c r="M242" i="8"/>
  <c r="K243" i="8"/>
  <c r="L243" i="8"/>
  <c r="M243" i="8"/>
  <c r="I245" i="8"/>
  <c r="K245" i="8"/>
  <c r="L245" i="8"/>
  <c r="M245" i="8"/>
  <c r="I246" i="8"/>
  <c r="K246" i="8"/>
  <c r="L246" i="8"/>
  <c r="M246" i="8"/>
  <c r="I247" i="8"/>
  <c r="K247" i="8"/>
  <c r="L247" i="8"/>
  <c r="M247" i="8"/>
  <c r="I248" i="8"/>
  <c r="K248" i="8"/>
  <c r="L248" i="8"/>
  <c r="M248" i="8"/>
  <c r="I249" i="8"/>
  <c r="K249" i="8"/>
  <c r="L249" i="8"/>
  <c r="M249" i="8"/>
  <c r="I250" i="8"/>
  <c r="K250" i="8"/>
  <c r="L250" i="8"/>
  <c r="M250" i="8"/>
  <c r="I251" i="8"/>
  <c r="K251" i="8"/>
  <c r="L251" i="8"/>
  <c r="M251" i="8"/>
  <c r="I252" i="8"/>
  <c r="K252" i="8"/>
  <c r="L252" i="8"/>
  <c r="M252" i="8"/>
  <c r="I253" i="8"/>
  <c r="K253" i="8"/>
  <c r="L253" i="8"/>
  <c r="M253" i="8"/>
  <c r="I254" i="8"/>
  <c r="K254" i="8"/>
  <c r="L254" i="8"/>
  <c r="M254" i="8"/>
  <c r="I255" i="8"/>
  <c r="K255" i="8"/>
  <c r="L255" i="8"/>
  <c r="M255" i="8"/>
  <c r="I256" i="8"/>
  <c r="K256" i="8"/>
  <c r="L256" i="8"/>
  <c r="M256" i="8"/>
  <c r="I257" i="8"/>
  <c r="K257" i="8"/>
  <c r="L257" i="8"/>
  <c r="M257" i="8"/>
  <c r="I258" i="8"/>
  <c r="K258" i="8"/>
  <c r="L258" i="8"/>
  <c r="M258" i="8"/>
  <c r="I259" i="8"/>
  <c r="K259" i="8"/>
  <c r="L259" i="8"/>
  <c r="M259" i="8"/>
  <c r="I260" i="8"/>
  <c r="K260" i="8"/>
  <c r="L260" i="8"/>
  <c r="M260" i="8"/>
  <c r="I261" i="8"/>
  <c r="K261" i="8"/>
  <c r="L261" i="8"/>
  <c r="M261" i="8"/>
  <c r="I262" i="8"/>
  <c r="K262" i="8"/>
  <c r="L262" i="8"/>
  <c r="M262" i="8"/>
  <c r="I263" i="8"/>
  <c r="K263" i="8"/>
  <c r="L263" i="8"/>
  <c r="M263" i="8"/>
  <c r="I264" i="8"/>
  <c r="K264" i="8"/>
  <c r="L264" i="8"/>
  <c r="M264" i="8"/>
  <c r="K267" i="8"/>
  <c r="L267" i="8"/>
  <c r="M267" i="8"/>
  <c r="I270" i="8"/>
  <c r="K270" i="8"/>
  <c r="L270" i="8"/>
  <c r="M270" i="8"/>
  <c r="I271" i="8"/>
  <c r="K271" i="8"/>
  <c r="L271" i="8"/>
  <c r="M271" i="8"/>
  <c r="I272" i="8"/>
  <c r="K272" i="8"/>
  <c r="L272" i="8"/>
  <c r="M272" i="8"/>
  <c r="I273" i="8"/>
  <c r="K273" i="8"/>
  <c r="L273" i="8"/>
  <c r="M273" i="8"/>
  <c r="I274" i="8"/>
  <c r="K274" i="8"/>
  <c r="L274" i="8"/>
  <c r="M274" i="8"/>
  <c r="I275" i="8"/>
  <c r="K275" i="8"/>
  <c r="L275" i="8"/>
  <c r="M275" i="8"/>
  <c r="I276" i="8"/>
  <c r="K276" i="8"/>
  <c r="L276" i="8"/>
  <c r="M276" i="8"/>
  <c r="I277" i="8"/>
  <c r="K277" i="8"/>
  <c r="L277" i="8"/>
  <c r="M277" i="8"/>
  <c r="I278" i="8"/>
  <c r="K278" i="8"/>
  <c r="L278" i="8"/>
  <c r="M278" i="8"/>
  <c r="I279" i="8"/>
  <c r="K279" i="8"/>
  <c r="L279" i="8"/>
  <c r="M279" i="8"/>
  <c r="I281" i="8"/>
  <c r="K281" i="8"/>
  <c r="L281" i="8"/>
  <c r="M281" i="8"/>
  <c r="I282" i="8"/>
  <c r="K282" i="8"/>
  <c r="L282" i="8"/>
  <c r="M282" i="8"/>
  <c r="I283" i="8"/>
  <c r="K283" i="8"/>
  <c r="L283" i="8"/>
  <c r="M283" i="8"/>
  <c r="I284" i="8"/>
  <c r="K284" i="8"/>
  <c r="L284" i="8"/>
  <c r="M284" i="8"/>
  <c r="I285" i="8"/>
  <c r="K285" i="8"/>
  <c r="L285" i="8"/>
  <c r="M285" i="8"/>
  <c r="I286" i="8"/>
  <c r="K286" i="8"/>
  <c r="L286" i="8"/>
  <c r="M286" i="8"/>
  <c r="I287" i="8"/>
  <c r="K287" i="8"/>
  <c r="L287" i="8"/>
  <c r="M287" i="8"/>
  <c r="I288" i="8"/>
  <c r="K288" i="8"/>
  <c r="L288" i="8"/>
  <c r="M288" i="8"/>
  <c r="I289" i="8"/>
  <c r="K289" i="8"/>
  <c r="L289" i="8"/>
  <c r="M289" i="8"/>
  <c r="K290" i="8"/>
  <c r="L290" i="8"/>
  <c r="M290" i="8"/>
  <c r="I293" i="8"/>
  <c r="K293" i="8"/>
  <c r="L293" i="8"/>
  <c r="M293" i="8"/>
  <c r="I294" i="8"/>
  <c r="K294" i="8"/>
  <c r="L294" i="8"/>
  <c r="M294" i="8"/>
  <c r="I295" i="8"/>
  <c r="K295" i="8"/>
  <c r="L295" i="8"/>
  <c r="M295" i="8"/>
  <c r="I296" i="8"/>
  <c r="K296" i="8"/>
  <c r="L296" i="8"/>
  <c r="M296" i="8"/>
  <c r="I297" i="8"/>
  <c r="K297" i="8"/>
  <c r="L297" i="8"/>
  <c r="M297" i="8"/>
  <c r="I298" i="8"/>
  <c r="K298" i="8"/>
  <c r="L298" i="8"/>
  <c r="M298" i="8"/>
  <c r="I299" i="8"/>
  <c r="K299" i="8"/>
  <c r="L299" i="8"/>
  <c r="M299" i="8"/>
  <c r="I300" i="8"/>
  <c r="K300" i="8"/>
  <c r="L300" i="8"/>
  <c r="M300" i="8"/>
  <c r="I301" i="8"/>
  <c r="K301" i="8"/>
  <c r="L301" i="8"/>
  <c r="M301" i="8"/>
  <c r="I302" i="8"/>
  <c r="K302" i="8"/>
  <c r="L302" i="8"/>
  <c r="M302" i="8"/>
  <c r="I303" i="8"/>
  <c r="K303" i="8"/>
  <c r="L303" i="8"/>
  <c r="M303" i="8"/>
  <c r="I304" i="8"/>
  <c r="K304" i="8"/>
  <c r="L304" i="8"/>
  <c r="M304" i="8"/>
  <c r="I305" i="8"/>
  <c r="K305" i="8"/>
  <c r="L305" i="8"/>
  <c r="M305" i="8"/>
  <c r="I306" i="8"/>
  <c r="K306" i="8"/>
  <c r="L306" i="8"/>
  <c r="M306" i="8"/>
  <c r="I307" i="8"/>
  <c r="K307" i="8"/>
  <c r="L307" i="8"/>
  <c r="M307" i="8"/>
  <c r="I308" i="8"/>
  <c r="K308" i="8"/>
  <c r="L308" i="8"/>
  <c r="M308" i="8"/>
  <c r="I309" i="8"/>
  <c r="K309" i="8"/>
  <c r="L309" i="8"/>
  <c r="M309" i="8"/>
  <c r="I310" i="8"/>
  <c r="K310" i="8"/>
  <c r="L310" i="8"/>
  <c r="M310" i="8"/>
  <c r="I311" i="8"/>
  <c r="K311" i="8"/>
  <c r="L311" i="8"/>
  <c r="M311" i="8"/>
  <c r="I312" i="8"/>
  <c r="K312" i="8"/>
  <c r="L312" i="8"/>
  <c r="M312" i="8"/>
  <c r="K314" i="8"/>
  <c r="L314" i="8"/>
  <c r="M314" i="8"/>
  <c r="K317" i="8"/>
  <c r="L317" i="8"/>
  <c r="M317" i="8"/>
  <c r="I318" i="8"/>
  <c r="K318" i="8"/>
  <c r="L318" i="8"/>
  <c r="M318" i="8"/>
  <c r="I320" i="8"/>
  <c r="K320" i="8"/>
  <c r="L320" i="8"/>
  <c r="M320" i="8"/>
  <c r="I324" i="8"/>
  <c r="K324" i="8"/>
  <c r="L324" i="8"/>
  <c r="M324" i="8"/>
  <c r="I325" i="8"/>
  <c r="K325" i="8"/>
  <c r="L325" i="8"/>
  <c r="M325" i="8"/>
  <c r="I326" i="8"/>
  <c r="K326" i="8"/>
  <c r="L326" i="8"/>
  <c r="M326" i="8"/>
  <c r="I327" i="8"/>
  <c r="K327" i="8"/>
  <c r="L327" i="8"/>
  <c r="M327" i="8"/>
  <c r="I328" i="8"/>
  <c r="K328" i="8"/>
  <c r="L328" i="8"/>
  <c r="M328" i="8"/>
  <c r="K329" i="8"/>
  <c r="L329" i="8"/>
  <c r="M329" i="8"/>
  <c r="I332" i="8"/>
  <c r="K332" i="8"/>
  <c r="L332" i="8"/>
  <c r="M332" i="8"/>
  <c r="I333" i="8"/>
  <c r="K333" i="8"/>
  <c r="L333" i="8"/>
  <c r="M333" i="8"/>
  <c r="I334" i="8"/>
  <c r="K334" i="8"/>
  <c r="L334" i="8"/>
  <c r="M334" i="8"/>
  <c r="I335" i="8"/>
  <c r="K335" i="8"/>
  <c r="L335" i="8"/>
  <c r="M335" i="8"/>
  <c r="K336" i="8"/>
  <c r="L336" i="8"/>
  <c r="M336" i="8"/>
  <c r="K337" i="8"/>
  <c r="L337" i="8"/>
  <c r="M337" i="8"/>
  <c r="K338" i="8"/>
  <c r="L338" i="8"/>
  <c r="M338" i="8"/>
  <c r="I339" i="8"/>
  <c r="K339" i="8"/>
  <c r="L339" i="8"/>
  <c r="M339" i="8"/>
  <c r="I340" i="8"/>
  <c r="K340" i="8"/>
  <c r="L340" i="8"/>
  <c r="M340" i="8"/>
  <c r="I341" i="8"/>
  <c r="K341" i="8"/>
  <c r="L341" i="8"/>
  <c r="M341" i="8"/>
  <c r="I342" i="8"/>
  <c r="K342" i="8"/>
  <c r="L342" i="8"/>
  <c r="M342" i="8"/>
  <c r="I343" i="8"/>
  <c r="K343" i="8"/>
  <c r="L343" i="8"/>
  <c r="M343" i="8"/>
  <c r="I344" i="8"/>
  <c r="K344" i="8"/>
  <c r="L344" i="8"/>
  <c r="M344" i="8"/>
  <c r="I345" i="8"/>
  <c r="K345" i="8"/>
  <c r="L345" i="8"/>
  <c r="M345" i="8"/>
  <c r="I347" i="8"/>
  <c r="K347" i="8"/>
  <c r="L347" i="8"/>
  <c r="M347" i="8"/>
  <c r="I348" i="8"/>
  <c r="K348" i="8"/>
  <c r="L348" i="8"/>
  <c r="M348" i="8"/>
  <c r="I349" i="8"/>
  <c r="K349" i="8"/>
  <c r="L349" i="8"/>
  <c r="M349" i="8"/>
  <c r="I350" i="8"/>
  <c r="K350" i="8"/>
  <c r="L350" i="8"/>
  <c r="M350" i="8"/>
  <c r="I351" i="8"/>
  <c r="K351" i="8"/>
  <c r="L351" i="8"/>
  <c r="M351" i="8"/>
  <c r="K353" i="8"/>
  <c r="L353" i="8"/>
  <c r="M353" i="8"/>
  <c r="K354" i="8"/>
  <c r="L354" i="8"/>
  <c r="M354" i="8"/>
  <c r="K355" i="8"/>
  <c r="L355" i="8"/>
  <c r="M355" i="8"/>
  <c r="I356" i="8"/>
  <c r="K356" i="8"/>
  <c r="L356" i="8"/>
  <c r="M356" i="8"/>
  <c r="I357" i="8"/>
  <c r="K357" i="8"/>
  <c r="L357" i="8"/>
  <c r="M357" i="8"/>
  <c r="I358" i="8"/>
  <c r="K358" i="8"/>
  <c r="L358" i="8"/>
  <c r="M358" i="8"/>
  <c r="I359" i="8"/>
  <c r="K359" i="8"/>
  <c r="L359" i="8"/>
  <c r="M359" i="8"/>
  <c r="I360" i="8"/>
  <c r="K360" i="8"/>
  <c r="L360" i="8"/>
  <c r="M360" i="8"/>
  <c r="I365" i="8"/>
  <c r="K365" i="8"/>
  <c r="L365" i="8"/>
  <c r="M365" i="8"/>
  <c r="K366" i="8"/>
  <c r="L366" i="8"/>
  <c r="M366" i="8"/>
  <c r="I369" i="8"/>
  <c r="K369" i="8"/>
  <c r="L369" i="8"/>
  <c r="M369" i="8"/>
  <c r="I370" i="8"/>
  <c r="K370" i="8"/>
  <c r="L370" i="8"/>
  <c r="M370" i="8"/>
  <c r="I371" i="8"/>
  <c r="K371" i="8"/>
  <c r="L371" i="8"/>
  <c r="M371" i="8"/>
  <c r="I372" i="8"/>
  <c r="K372" i="8"/>
  <c r="L372" i="8"/>
  <c r="M372" i="8"/>
  <c r="I373" i="8"/>
  <c r="K373" i="8"/>
  <c r="L373" i="8"/>
  <c r="M373" i="8"/>
  <c r="I374" i="8"/>
  <c r="K374" i="8"/>
  <c r="L374" i="8"/>
  <c r="M374" i="8"/>
  <c r="I375" i="8"/>
  <c r="K375" i="8"/>
  <c r="L375" i="8"/>
  <c r="M375" i="8"/>
  <c r="I376" i="8"/>
  <c r="K376" i="8"/>
  <c r="L376" i="8"/>
  <c r="M376" i="8"/>
  <c r="I377" i="8"/>
  <c r="K377" i="8"/>
  <c r="L377" i="8"/>
  <c r="M377" i="8"/>
  <c r="I378" i="8"/>
  <c r="K378" i="8"/>
  <c r="L378" i="8"/>
  <c r="M378" i="8"/>
  <c r="I379" i="8"/>
  <c r="K379" i="8"/>
  <c r="L379" i="8"/>
  <c r="M379" i="8"/>
  <c r="I380" i="8"/>
  <c r="K380" i="8"/>
  <c r="L380" i="8"/>
  <c r="M380" i="8"/>
  <c r="I381" i="8"/>
  <c r="K381" i="8"/>
  <c r="L381" i="8"/>
  <c r="M381" i="8"/>
  <c r="I382" i="8"/>
  <c r="K382" i="8"/>
  <c r="L382" i="8"/>
  <c r="M382" i="8"/>
  <c r="I383" i="8"/>
  <c r="K383" i="8"/>
  <c r="L383" i="8"/>
  <c r="M383" i="8"/>
  <c r="I384" i="8"/>
  <c r="K384" i="8"/>
  <c r="L384" i="8"/>
  <c r="M384" i="8"/>
  <c r="I385" i="8"/>
  <c r="K385" i="8"/>
  <c r="L385" i="8"/>
  <c r="M385" i="8"/>
  <c r="I386" i="8"/>
  <c r="K386" i="8"/>
  <c r="L386" i="8"/>
  <c r="M386" i="8"/>
  <c r="I387" i="8"/>
  <c r="K387" i="8"/>
  <c r="L387" i="8"/>
  <c r="M387" i="8"/>
  <c r="I388" i="8"/>
  <c r="K388" i="8"/>
  <c r="L388" i="8"/>
  <c r="M388" i="8"/>
  <c r="I389" i="8"/>
  <c r="K389" i="8"/>
  <c r="L389" i="8"/>
  <c r="M389" i="8"/>
  <c r="I390" i="8"/>
  <c r="K390" i="8"/>
  <c r="L390" i="8"/>
  <c r="M390" i="8"/>
  <c r="I391" i="8"/>
  <c r="K391" i="8"/>
  <c r="L391" i="8"/>
  <c r="M391" i="8"/>
  <c r="I392" i="8"/>
  <c r="K392" i="8"/>
  <c r="L392" i="8"/>
  <c r="M392" i="8"/>
  <c r="I393" i="8"/>
  <c r="K393" i="8"/>
  <c r="L393" i="8"/>
  <c r="M393" i="8"/>
  <c r="I394" i="8"/>
  <c r="K394" i="8"/>
  <c r="L394" i="8"/>
  <c r="M394" i="8"/>
  <c r="I395" i="8"/>
  <c r="K395" i="8"/>
  <c r="L395" i="8"/>
  <c r="M395" i="8"/>
  <c r="I396" i="8"/>
  <c r="K396" i="8"/>
  <c r="L396" i="8"/>
  <c r="M396" i="8"/>
  <c r="I397" i="8"/>
  <c r="K397" i="8"/>
  <c r="L397" i="8"/>
  <c r="M397" i="8"/>
  <c r="I398" i="8"/>
  <c r="K398" i="8"/>
  <c r="L398" i="8"/>
  <c r="M398" i="8"/>
  <c r="I399" i="8"/>
  <c r="K399" i="8"/>
  <c r="L399" i="8"/>
  <c r="M399" i="8"/>
  <c r="I400" i="8"/>
  <c r="K400" i="8"/>
  <c r="L400" i="8"/>
  <c r="M400" i="8"/>
  <c r="I401" i="8"/>
  <c r="K401" i="8"/>
  <c r="L401" i="8"/>
  <c r="M401" i="8"/>
  <c r="I402" i="8"/>
  <c r="K402" i="8"/>
  <c r="L402" i="8"/>
  <c r="M402" i="8"/>
  <c r="I403" i="8"/>
  <c r="K403" i="8"/>
  <c r="L403" i="8"/>
  <c r="M403" i="8"/>
  <c r="I404" i="8"/>
  <c r="K404" i="8"/>
  <c r="L404" i="8"/>
  <c r="M404" i="8"/>
  <c r="I405" i="8"/>
  <c r="K405" i="8"/>
  <c r="L405" i="8"/>
  <c r="M405" i="8"/>
  <c r="I406" i="8"/>
  <c r="K406" i="8"/>
  <c r="L406" i="8"/>
  <c r="M406" i="8"/>
  <c r="I407" i="8"/>
  <c r="K407" i="8"/>
  <c r="L407" i="8"/>
  <c r="M407" i="8"/>
  <c r="I408" i="8"/>
  <c r="K408" i="8"/>
  <c r="L408" i="8"/>
  <c r="M408" i="8"/>
  <c r="I409" i="8"/>
  <c r="K409" i="8"/>
  <c r="L409" i="8"/>
  <c r="M409" i="8"/>
  <c r="K410" i="8"/>
  <c r="L410" i="8"/>
  <c r="M410" i="8"/>
  <c r="K411" i="8"/>
  <c r="L411" i="8"/>
  <c r="M411" i="8"/>
  <c r="K412" i="8"/>
  <c r="L412" i="8"/>
  <c r="M412" i="8"/>
  <c r="I413" i="8"/>
  <c r="K413" i="8"/>
  <c r="L413" i="8"/>
  <c r="M413" i="8"/>
  <c r="I414" i="8"/>
  <c r="K414" i="8"/>
  <c r="L414" i="8"/>
  <c r="M414" i="8"/>
  <c r="I415" i="8"/>
  <c r="K415" i="8"/>
  <c r="L415" i="8"/>
  <c r="M415" i="8"/>
  <c r="I416" i="8"/>
  <c r="K416" i="8"/>
  <c r="L416" i="8"/>
  <c r="M416" i="8"/>
  <c r="I417" i="8"/>
  <c r="K417" i="8"/>
  <c r="L417" i="8"/>
  <c r="M417" i="8"/>
  <c r="I418" i="8"/>
  <c r="K418" i="8"/>
  <c r="L418" i="8"/>
  <c r="M418" i="8"/>
  <c r="I419" i="8"/>
  <c r="K419" i="8"/>
  <c r="L419" i="8"/>
  <c r="M419" i="8"/>
  <c r="I420" i="8"/>
  <c r="K420" i="8"/>
  <c r="L420" i="8"/>
  <c r="M420" i="8"/>
  <c r="I421" i="8"/>
  <c r="K421" i="8"/>
  <c r="L421" i="8"/>
  <c r="M421" i="8"/>
  <c r="I422" i="8"/>
  <c r="K422" i="8"/>
  <c r="L422" i="8"/>
  <c r="M422" i="8"/>
  <c r="I423" i="8"/>
  <c r="K423" i="8"/>
  <c r="L423" i="8"/>
  <c r="M423" i="8"/>
  <c r="I424" i="8"/>
  <c r="K424" i="8"/>
  <c r="L424" i="8"/>
  <c r="M424" i="8"/>
  <c r="I425" i="8"/>
  <c r="K425" i="8"/>
  <c r="L425" i="8"/>
  <c r="M425" i="8"/>
  <c r="I426" i="8"/>
  <c r="K426" i="8"/>
  <c r="L426" i="8"/>
  <c r="M426" i="8"/>
  <c r="I427" i="8"/>
  <c r="K427" i="8"/>
  <c r="L427" i="8"/>
  <c r="M427" i="8"/>
  <c r="I428" i="8"/>
  <c r="K428" i="8"/>
  <c r="L428" i="8"/>
  <c r="M428" i="8"/>
  <c r="I429" i="8"/>
  <c r="K429" i="8"/>
  <c r="L429" i="8"/>
  <c r="M429" i="8"/>
  <c r="I430" i="8"/>
  <c r="K430" i="8"/>
  <c r="L430" i="8"/>
  <c r="M430" i="8"/>
  <c r="I431" i="8"/>
  <c r="K431" i="8"/>
  <c r="L431" i="8"/>
  <c r="M431" i="8"/>
  <c r="I434" i="8"/>
  <c r="K434" i="8"/>
  <c r="L434" i="8"/>
  <c r="M434" i="8"/>
  <c r="I435" i="8"/>
  <c r="K435" i="8"/>
  <c r="L435" i="8"/>
  <c r="M435" i="8"/>
  <c r="I436" i="8"/>
  <c r="K436" i="8"/>
  <c r="L436" i="8"/>
  <c r="M436" i="8"/>
  <c r="I437" i="8"/>
  <c r="K437" i="8"/>
  <c r="L437" i="8"/>
  <c r="M437" i="8"/>
  <c r="I438" i="8"/>
  <c r="K438" i="8"/>
  <c r="L438" i="8"/>
  <c r="M438" i="8"/>
  <c r="I439" i="8"/>
  <c r="K439" i="8"/>
  <c r="L439" i="8"/>
  <c r="M439" i="8"/>
  <c r="I440" i="8"/>
  <c r="K440" i="8"/>
  <c r="L440" i="8"/>
  <c r="M440" i="8"/>
  <c r="I441" i="8"/>
  <c r="K441" i="8"/>
  <c r="L441" i="8"/>
  <c r="M441" i="8"/>
  <c r="I442" i="8"/>
  <c r="K442" i="8"/>
  <c r="L442" i="8"/>
  <c r="M442" i="8"/>
  <c r="I443" i="8"/>
  <c r="K443" i="8"/>
  <c r="L443" i="8"/>
  <c r="M443" i="8"/>
  <c r="I444" i="8"/>
  <c r="K444" i="8"/>
  <c r="L444" i="8"/>
  <c r="M444" i="8"/>
  <c r="I445" i="8"/>
  <c r="K445" i="8"/>
  <c r="L445" i="8"/>
  <c r="M445" i="8"/>
  <c r="I446" i="8"/>
  <c r="K446" i="8"/>
  <c r="L446" i="8"/>
  <c r="M446" i="8"/>
  <c r="I447" i="8"/>
  <c r="K447" i="8"/>
  <c r="L447" i="8"/>
  <c r="M447" i="8"/>
  <c r="I448" i="8"/>
  <c r="K448" i="8"/>
  <c r="L448" i="8"/>
  <c r="M448" i="8"/>
  <c r="I449" i="8"/>
  <c r="K449" i="8"/>
  <c r="L449" i="8"/>
  <c r="M449" i="8"/>
  <c r="I450" i="8"/>
  <c r="K450" i="8"/>
  <c r="L450" i="8"/>
  <c r="M450" i="8"/>
  <c r="I451" i="8"/>
  <c r="K451" i="8"/>
  <c r="L451" i="8"/>
  <c r="M451" i="8"/>
  <c r="I452" i="8"/>
  <c r="K452" i="8"/>
  <c r="L452" i="8"/>
  <c r="M452" i="8"/>
  <c r="I453" i="8"/>
  <c r="K453" i="8"/>
  <c r="L453" i="8"/>
  <c r="M453" i="8"/>
  <c r="I454" i="8"/>
  <c r="K454" i="8"/>
  <c r="L454" i="8"/>
  <c r="M454" i="8"/>
  <c r="I455" i="8"/>
  <c r="K455" i="8"/>
  <c r="L455" i="8"/>
  <c r="M455" i="8"/>
  <c r="I456" i="8"/>
  <c r="K456" i="8"/>
  <c r="L456" i="8"/>
  <c r="M456" i="8"/>
  <c r="I457" i="8"/>
  <c r="K457" i="8"/>
  <c r="L457" i="8"/>
  <c r="M457" i="8"/>
  <c r="I458" i="8"/>
  <c r="K458" i="8"/>
  <c r="L458" i="8"/>
  <c r="M458" i="8"/>
  <c r="I460" i="8"/>
  <c r="K460" i="8"/>
  <c r="L460" i="8"/>
  <c r="M460" i="8"/>
  <c r="I461" i="8"/>
  <c r="K461" i="8"/>
  <c r="L461" i="8"/>
  <c r="M461" i="8"/>
  <c r="I462" i="8"/>
  <c r="K462" i="8"/>
  <c r="L462" i="8"/>
  <c r="M462" i="8"/>
  <c r="I463" i="8"/>
  <c r="K463" i="8"/>
  <c r="L463" i="8"/>
  <c r="M463" i="8"/>
  <c r="I464" i="8"/>
  <c r="K464" i="8"/>
  <c r="L464" i="8"/>
  <c r="M464" i="8"/>
  <c r="I465" i="8"/>
  <c r="K465" i="8"/>
  <c r="L465" i="8"/>
  <c r="M465" i="8"/>
  <c r="I466" i="8"/>
  <c r="K466" i="8"/>
  <c r="L466" i="8"/>
  <c r="M466" i="8"/>
  <c r="I467" i="8"/>
  <c r="K467" i="8"/>
  <c r="L467" i="8"/>
  <c r="M467" i="8"/>
  <c r="I468" i="8"/>
  <c r="K468" i="8"/>
  <c r="L468" i="8"/>
  <c r="M468" i="8"/>
  <c r="I469" i="8"/>
  <c r="K469" i="8"/>
  <c r="L469" i="8"/>
  <c r="M469" i="8"/>
  <c r="I470" i="8"/>
  <c r="K470" i="8"/>
  <c r="L470" i="8"/>
  <c r="M470" i="8"/>
  <c r="I471" i="8"/>
  <c r="K471" i="8"/>
  <c r="L471" i="8"/>
  <c r="M471" i="8"/>
  <c r="I472" i="8"/>
  <c r="K472" i="8"/>
  <c r="L472" i="8"/>
  <c r="M472" i="8"/>
  <c r="I473" i="8"/>
  <c r="K473" i="8"/>
  <c r="L473" i="8"/>
  <c r="M473" i="8"/>
  <c r="K474" i="8"/>
  <c r="L474" i="8"/>
  <c r="M474" i="8"/>
  <c r="K475" i="8"/>
  <c r="L475" i="8"/>
  <c r="M475" i="8"/>
  <c r="I476" i="8"/>
  <c r="K476" i="8"/>
  <c r="L476" i="8"/>
  <c r="M476" i="8"/>
  <c r="I477" i="8"/>
  <c r="K477" i="8"/>
  <c r="L477" i="8"/>
  <c r="M477" i="8"/>
  <c r="I478" i="8"/>
  <c r="K478" i="8"/>
  <c r="L478" i="8"/>
  <c r="M478" i="8"/>
  <c r="I479" i="8"/>
  <c r="K479" i="8"/>
  <c r="L479" i="8"/>
  <c r="M479" i="8"/>
  <c r="I480" i="8"/>
  <c r="K480" i="8"/>
  <c r="L480" i="8"/>
  <c r="M480" i="8"/>
  <c r="I481" i="8"/>
  <c r="K481" i="8"/>
  <c r="L481" i="8"/>
  <c r="M481" i="8"/>
  <c r="I482" i="8"/>
  <c r="K482" i="8"/>
  <c r="L482" i="8"/>
  <c r="M482" i="8"/>
  <c r="I484" i="8"/>
  <c r="K484" i="8"/>
  <c r="L484" i="8"/>
  <c r="M484" i="8"/>
  <c r="I485" i="8"/>
  <c r="K485" i="8"/>
  <c r="L485" i="8"/>
  <c r="M485" i="8"/>
  <c r="I486" i="8"/>
  <c r="K486" i="8"/>
  <c r="L486" i="8"/>
  <c r="M486" i="8"/>
  <c r="I487" i="8"/>
  <c r="K487" i="8"/>
  <c r="L487" i="8"/>
  <c r="M487" i="8"/>
  <c r="I488" i="8"/>
  <c r="K488" i="8"/>
  <c r="L488" i="8"/>
  <c r="M488" i="8"/>
  <c r="I489" i="8"/>
  <c r="K489" i="8"/>
  <c r="L489" i="8"/>
  <c r="M489" i="8"/>
  <c r="I490" i="8"/>
  <c r="K490" i="8"/>
  <c r="L490" i="8"/>
  <c r="M490" i="8"/>
  <c r="I491" i="8"/>
  <c r="K491" i="8"/>
  <c r="L491" i="8"/>
  <c r="M491" i="8"/>
  <c r="I492" i="8"/>
  <c r="K492" i="8"/>
  <c r="L492" i="8"/>
  <c r="M492" i="8"/>
  <c r="I493" i="8"/>
  <c r="K493" i="8"/>
  <c r="L493" i="8"/>
  <c r="M493" i="8"/>
  <c r="I494" i="8"/>
  <c r="K494" i="8"/>
  <c r="L494" i="8"/>
  <c r="M494" i="8"/>
  <c r="I495" i="8"/>
  <c r="K495" i="8"/>
  <c r="L495" i="8"/>
  <c r="M495" i="8"/>
  <c r="I496" i="8"/>
  <c r="K496" i="8"/>
  <c r="L496" i="8"/>
  <c r="M496" i="8"/>
  <c r="I497" i="8"/>
  <c r="K497" i="8"/>
  <c r="L497" i="8"/>
  <c r="M497" i="8"/>
  <c r="I498" i="8"/>
  <c r="K498" i="8"/>
  <c r="L498" i="8"/>
  <c r="M498" i="8"/>
  <c r="I499" i="8"/>
  <c r="K499" i="8"/>
  <c r="L499" i="8"/>
  <c r="M499" i="8"/>
  <c r="I500" i="8"/>
  <c r="K500" i="8"/>
  <c r="L500" i="8"/>
  <c r="M500" i="8"/>
  <c r="I501" i="8"/>
  <c r="K501" i="8"/>
  <c r="L501" i="8"/>
  <c r="M501" i="8"/>
  <c r="I502" i="8"/>
  <c r="K502" i="8"/>
  <c r="L502" i="8"/>
  <c r="M502" i="8"/>
  <c r="I503" i="8"/>
  <c r="K503" i="8"/>
  <c r="L503" i="8"/>
  <c r="M503" i="8"/>
  <c r="I504" i="8"/>
  <c r="K504" i="8"/>
  <c r="L504" i="8"/>
  <c r="M504" i="8"/>
  <c r="I505" i="8"/>
  <c r="K505" i="8"/>
  <c r="L505" i="8"/>
  <c r="M505" i="8"/>
  <c r="I506" i="8"/>
  <c r="K506" i="8"/>
  <c r="L506" i="8"/>
  <c r="M506" i="8"/>
  <c r="I507" i="8"/>
  <c r="K507" i="8"/>
  <c r="L507" i="8"/>
  <c r="M507" i="8"/>
  <c r="K508" i="8"/>
  <c r="L508" i="8"/>
  <c r="M508" i="8"/>
  <c r="K509" i="8"/>
  <c r="L509" i="8"/>
  <c r="M509" i="8"/>
  <c r="K510" i="8"/>
  <c r="L510" i="8"/>
  <c r="M510" i="8"/>
  <c r="I511" i="8"/>
  <c r="K511" i="8"/>
  <c r="L511" i="8"/>
  <c r="M511" i="8"/>
  <c r="I512" i="8"/>
  <c r="K512" i="8"/>
  <c r="L512" i="8"/>
  <c r="M512" i="8"/>
  <c r="I513" i="8"/>
  <c r="K513" i="8"/>
  <c r="L513" i="8"/>
  <c r="M513" i="8"/>
  <c r="I514" i="8"/>
  <c r="K514" i="8"/>
  <c r="L514" i="8"/>
  <c r="M514" i="8"/>
  <c r="I515" i="8"/>
  <c r="K515" i="8"/>
  <c r="L515" i="8"/>
  <c r="M515" i="8"/>
  <c r="I516" i="8"/>
  <c r="K516" i="8"/>
  <c r="L516" i="8"/>
  <c r="M516" i="8"/>
  <c r="I517" i="8"/>
  <c r="K517" i="8"/>
  <c r="L517" i="8"/>
  <c r="M517" i="8"/>
  <c r="I518" i="8"/>
  <c r="K518" i="8"/>
  <c r="L518" i="8"/>
  <c r="M518" i="8"/>
  <c r="I519" i="8"/>
  <c r="K519" i="8"/>
  <c r="L519" i="8"/>
  <c r="M519" i="8"/>
  <c r="I522" i="8"/>
  <c r="K522" i="8"/>
  <c r="L522" i="8"/>
  <c r="M522" i="8"/>
  <c r="I523" i="8"/>
  <c r="K523" i="8"/>
  <c r="L523" i="8"/>
  <c r="M523" i="8"/>
  <c r="I526" i="8"/>
  <c r="K526" i="8"/>
  <c r="L526" i="8"/>
  <c r="M526" i="8"/>
  <c r="I527" i="8"/>
  <c r="K527" i="8"/>
  <c r="L527" i="8"/>
  <c r="M527" i="8"/>
  <c r="I528" i="8"/>
  <c r="K528" i="8"/>
  <c r="L528" i="8"/>
  <c r="M528" i="8"/>
  <c r="I529" i="8"/>
  <c r="K529" i="8"/>
  <c r="L529" i="8"/>
  <c r="M529" i="8"/>
  <c r="I530" i="8"/>
  <c r="K530" i="8"/>
  <c r="L530" i="8"/>
  <c r="M530" i="8"/>
  <c r="I531" i="8"/>
  <c r="K531" i="8"/>
  <c r="L531" i="8"/>
  <c r="M531" i="8"/>
  <c r="I533" i="8"/>
  <c r="K533" i="8"/>
  <c r="L533" i="8"/>
  <c r="M533" i="8"/>
  <c r="I534" i="8"/>
  <c r="K534" i="8"/>
  <c r="L534" i="8"/>
  <c r="M534" i="8"/>
  <c r="I535" i="8"/>
  <c r="K535" i="8"/>
  <c r="L535" i="8"/>
  <c r="M535" i="8"/>
  <c r="I536" i="8"/>
  <c r="K536" i="8"/>
  <c r="L536" i="8"/>
  <c r="M536" i="8"/>
  <c r="I537" i="8"/>
  <c r="K537" i="8"/>
  <c r="L537" i="8"/>
  <c r="M537" i="8"/>
  <c r="I538" i="8"/>
  <c r="K538" i="8"/>
  <c r="L538" i="8"/>
  <c r="M538" i="8"/>
  <c r="I540" i="8"/>
  <c r="K540" i="8"/>
  <c r="L540" i="8"/>
  <c r="M540" i="8"/>
  <c r="I541" i="8"/>
  <c r="K541" i="8"/>
  <c r="L541" i="8"/>
  <c r="M541" i="8"/>
  <c r="I542" i="8"/>
  <c r="K542" i="8"/>
  <c r="L542" i="8"/>
  <c r="M542" i="8"/>
  <c r="I543" i="8"/>
  <c r="K543" i="8"/>
  <c r="L543" i="8"/>
  <c r="M543" i="8"/>
  <c r="K544" i="8"/>
  <c r="L544" i="8"/>
  <c r="M544" i="8"/>
  <c r="K545" i="8"/>
  <c r="L545" i="8"/>
  <c r="M545" i="8"/>
  <c r="I550" i="8"/>
  <c r="K550" i="8"/>
  <c r="L550" i="8"/>
  <c r="M550" i="8"/>
  <c r="I551" i="8"/>
  <c r="K551" i="8"/>
  <c r="L551" i="8"/>
  <c r="M551" i="8"/>
  <c r="I555" i="8"/>
  <c r="K555" i="8"/>
  <c r="L555" i="8"/>
  <c r="M555" i="8"/>
  <c r="I556" i="8"/>
  <c r="K556" i="8"/>
  <c r="L556" i="8"/>
  <c r="M556" i="8"/>
  <c r="I557" i="8"/>
  <c r="K557" i="8"/>
  <c r="L557" i="8"/>
  <c r="M557" i="8"/>
  <c r="I558" i="8"/>
  <c r="K558" i="8"/>
  <c r="L558" i="8"/>
  <c r="M558" i="8"/>
  <c r="I559" i="8"/>
  <c r="K559" i="8"/>
  <c r="L559" i="8"/>
  <c r="M559" i="8"/>
  <c r="I560" i="8"/>
  <c r="K560" i="8"/>
  <c r="L560" i="8"/>
  <c r="M560" i="8"/>
  <c r="I561" i="8"/>
  <c r="K561" i="8"/>
  <c r="L561" i="8"/>
  <c r="M561" i="8"/>
  <c r="I562" i="8"/>
  <c r="K562" i="8"/>
  <c r="L562" i="8"/>
  <c r="M562" i="8"/>
  <c r="M2" i="8" l="1"/>
  <c r="L2" i="8"/>
  <c r="K2" i="8"/>
  <c r="I2" i="8" l="1"/>
</calcChain>
</file>

<file path=xl/sharedStrings.xml><?xml version="1.0" encoding="utf-8"?>
<sst xmlns="http://schemas.openxmlformats.org/spreadsheetml/2006/main" count="380" uniqueCount="160">
  <si>
    <t>period</t>
  </si>
  <si>
    <t>starttime</t>
  </si>
  <si>
    <t>endtime</t>
  </si>
  <si>
    <t>11:00</t>
  </si>
  <si>
    <t>16:30</t>
  </si>
  <si>
    <t>17:30</t>
  </si>
  <si>
    <t>id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</si>
  <si>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</si>
  <si>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</si>
  <si>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</si>
  <si>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</si>
  <si>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</si>
  <si>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</si>
  <si>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</si>
  <si>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</si>
  <si>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</si>
  <si>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</si>
  <si>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</si>
  <si>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</si>
  <si>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</si>
  <si>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</si>
  <si>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</si>
  <si>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</si>
  <si>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</si>
  <si>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</si>
  <si>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</si>
  <si>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</si>
  <si>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</si>
  <si>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</si>
  <si>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</si>
  <si>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</si>
  <si>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</si>
  <si>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</si>
  <si>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</si>
  <si>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</si>
  <si>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</si>
  <si>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</si>
  <si>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</si>
  <si>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</si>
  <si>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</si>
  <si>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</si>
  <si>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</si>
  <si>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</si>
  <si>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</si>
  <si>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</si>
  <si>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ID</t>
  </si>
  <si>
    <t>BATCH</t>
  </si>
  <si>
    <t>CLASS</t>
  </si>
  <si>
    <t>DAYID</t>
  </si>
  <si>
    <t>PERIOD</t>
  </si>
  <si>
    <t>SUBJECT</t>
  </si>
  <si>
    <t>TEACHER</t>
  </si>
  <si>
    <t>CLASSROOM</t>
  </si>
  <si>
    <t>PERIODLENGTH</t>
  </si>
  <si>
    <t>TIME</t>
  </si>
  <si>
    <t>MON</t>
  </si>
  <si>
    <t>TUE</t>
  </si>
  <si>
    <t>WED</t>
  </si>
  <si>
    <t>FRI</t>
  </si>
  <si>
    <t>SAT</t>
  </si>
  <si>
    <t>15:30 TO 16:30</t>
  </si>
  <si>
    <t>16:30 TO 17:30</t>
  </si>
  <si>
    <t>Subject</t>
  </si>
  <si>
    <t>Theory Load</t>
  </si>
  <si>
    <t>Practical Load</t>
  </si>
  <si>
    <t>Total</t>
  </si>
  <si>
    <t>Head of Department</t>
  </si>
  <si>
    <t>TOTAL</t>
  </si>
  <si>
    <t>CLASS TIME TABLE</t>
  </si>
  <si>
    <t>THU</t>
  </si>
  <si>
    <t>MO</t>
  </si>
  <si>
    <t>TU</t>
  </si>
  <si>
    <t>WE</t>
  </si>
  <si>
    <t>TH</t>
  </si>
  <si>
    <t>FR</t>
  </si>
  <si>
    <t>SA</t>
  </si>
  <si>
    <t>MONDAY</t>
  </si>
  <si>
    <t>TUESDAY</t>
  </si>
  <si>
    <t>WEDNESSDAY</t>
  </si>
  <si>
    <t>THURSDAY</t>
  </si>
  <si>
    <t>FRIDAY</t>
  </si>
  <si>
    <t>SATURDAY</t>
  </si>
  <si>
    <t>SHORT</t>
  </si>
  <si>
    <t>PRINT?</t>
  </si>
  <si>
    <t>FAC-CELL-VALUE</t>
  </si>
  <si>
    <t>CLASS-CELL-VALUE</t>
  </si>
  <si>
    <t>CLASSROOM-CELL-VALUE</t>
  </si>
  <si>
    <t>10:00</t>
  </si>
  <si>
    <t>ME SEM 1
 w.e.f. 03/08/2017</t>
  </si>
  <si>
    <t>BE SEM 3,5,7
 w.e.f. 18/06/2018</t>
  </si>
  <si>
    <t>AAP</t>
  </si>
  <si>
    <t>ME SEM 3
 w.e.f. 18/06/2018</t>
  </si>
  <si>
    <t>BE SEM 1
 w.e.f. 02/08/2018</t>
  </si>
  <si>
    <t>co_fac</t>
  </si>
  <si>
    <t>co_class</t>
  </si>
  <si>
    <t>aa</t>
  </si>
  <si>
    <t>4CEA</t>
  </si>
  <si>
    <t>4CEB</t>
  </si>
  <si>
    <t>w.e.f. 17/12/2018</t>
  </si>
  <si>
    <t>BE SEM 4,6,8
 w.e.f. 17/12/2018</t>
  </si>
  <si>
    <t>ME SEM 4
 w.e.f. 17/12/2018</t>
  </si>
  <si>
    <t>ME SEM 2
 w.e.f. 21/01/2019</t>
  </si>
  <si>
    <t>BE SEM 2
 w.e.f. 21/01/2019</t>
  </si>
  <si>
    <t>Faculty Name ( Designation )</t>
  </si>
  <si>
    <t>Faculty Initial</t>
  </si>
  <si>
    <t>Print ( 1-for print , 0 - no print)</t>
  </si>
  <si>
    <t>DAY</t>
  </si>
  <si>
    <t>NAME</t>
  </si>
  <si>
    <t>CLASSNAME</t>
  </si>
  <si>
    <t>SHORTNAME</t>
  </si>
  <si>
    <t>CLASSROOMNO</t>
  </si>
  <si>
    <t>ROOMNOSHORT</t>
  </si>
  <si>
    <t>10:55 TO 11:55</t>
  </si>
  <si>
    <t>11:55 TO 12:55</t>
  </si>
  <si>
    <t>13:20 TO 14:20</t>
  </si>
  <si>
    <t>14:20 TO 15:20</t>
  </si>
  <si>
    <t>STEP 1</t>
  </si>
  <si>
    <t>CONFIGURATION</t>
  </si>
  <si>
    <t>ENTER YOUR COLLEGE NAME</t>
  </si>
  <si>
    <t>ENTER YOUR DEPARTMENT NAME</t>
  </si>
  <si>
    <t xml:space="preserve">CLASS NAME </t>
  </si>
  <si>
    <t xml:space="preserve">STEP 2 </t>
  </si>
  <si>
    <t>CONFIGURE FACULTY</t>
  </si>
  <si>
    <t>STEP 3</t>
  </si>
  <si>
    <t>CONFIG CLASS ID</t>
  </si>
  <si>
    <t xml:space="preserve">STEP 4 </t>
  </si>
  <si>
    <t>CONFIG CLASS ROOM NUMBERS</t>
  </si>
  <si>
    <t>STEP 5</t>
  </si>
  <si>
    <t>ENTER TIME TABLE DETAILS</t>
  </si>
  <si>
    <t>DAYNAME
MO/TU/WE/TH/FR/SA</t>
  </si>
  <si>
    <t xml:space="preserve">Instructions : </t>
  </si>
  <si>
    <t>FOLLOW STEP 1 TO 4 TO CONFIGURE DETAILS LIKE COLLEGE NAME , DEPT. NAME , FACULTY DETAILS , CLASS NAME,</t>
  </si>
  <si>
    <t>CLASS ROOM NO, ETC</t>
  </si>
  <si>
    <t xml:space="preserve">ON STEP 5 NEED TO ENTER ALL TIME TABLE DETAILS </t>
  </si>
  <si>
    <t xml:space="preserve">PLEASE DON’T MODIFY ANY CELL MARKED WITH RED BACKGROUND IN ANY SHEET </t>
  </si>
  <si>
    <t>SEMESTER</t>
  </si>
  <si>
    <t>ON SHEET CTT, FTT,RTT YOU NEED TO CHANGE THE W.E.F. DETAILS BEFORE GENERATING THE TIMETABLE</t>
  </si>
  <si>
    <t>FOR PRINTING FACULTY, CLASS OR CLASS TIMETABLE YOU NEED TO SET THE PRINT COLUMN</t>
  </si>
  <si>
    <t xml:space="preserve">SAY YOU WANT TO PRINT SOME FACULTY TIMETABLE WHEN YOU CLICK FACULTY GENERATION BUTTON YOU </t>
  </si>
  <si>
    <t xml:space="preserve">NEED TO SET PRINT TO 1 FOR THAT FACULTY </t>
  </si>
  <si>
    <t>PREPARED BY : HIREN R. PATEL</t>
  </si>
  <si>
    <t>renruhak@gmail.com</t>
  </si>
  <si>
    <t>ABC COLLEGE</t>
  </si>
  <si>
    <t>COMPUTER ENGG.</t>
  </si>
  <si>
    <t>ODD SEM 2019</t>
  </si>
  <si>
    <t>PROF. A A PATEL ( ASST. PROF )</t>
  </si>
  <si>
    <t>PROF. G G PATEL ( ASST. PROF )</t>
  </si>
  <si>
    <t>PROF. Y Y DESAI ( ASST. PROF )</t>
  </si>
  <si>
    <t>GGP</t>
  </si>
  <si>
    <t>YYD</t>
  </si>
  <si>
    <t>SUB 1</t>
  </si>
  <si>
    <t>_x000D_
SUB 1-4CEA  8888</t>
  </si>
  <si>
    <t>_x000D_
SUB 1-4CEB  9999</t>
  </si>
  <si>
    <t xml:space="preserve"> SUB 1-AAP-8888</t>
  </si>
  <si>
    <t xml:space="preserve"> SUB 1-GGP-8888</t>
  </si>
  <si>
    <t xml:space="preserve"> SUB 1-YYD-9999</t>
  </si>
  <si>
    <t>4CEA- SUB 1-AAP</t>
  </si>
  <si>
    <t>4CEA- SUB 1-GGP</t>
  </si>
  <si>
    <t>4CEB- SUB 1-YYD</t>
  </si>
  <si>
    <t>ALLOW/ENABLE MACRO TO 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</si>
</sst>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b/>
      <sz val="14"/>
      <name val="Times New Roman"/>
      <family val="1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0"/>
      <name val="Times New Roman"/>
      <family val="1"/>
    </font>
    <font>
      <b/>
      <u/>
      <sz val="14"/>
      <color theme="1"/>
      <name val="Calibri"/>
      <family val="2"/>
      <scheme val="minor"/>
    </font>
    <font>
      <b/>
      <sz val="12"/>
      <name val="Times New Roman"/>
      <family val="1"/>
      <charset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2"/>
      <color theme="2"/>
      <name val="Calibri"/>
      <family val="2"/>
      <scheme val="minor"/>
    </font>
    <font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2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22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vertical="center" wrapText="1"/>
    </xf>
    <xf numFmtId="0" fontId="4" fillId="0" borderId="7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4" fillId="0" borderId="0" xfId="0" applyFont="1"/>
    <xf numFmtId="0" fontId="0" fillId="0" borderId="7" xfId="0" applyBorder="1"/>
    <xf numFmtId="1" fontId="4" fillId="0" borderId="7" xfId="0" applyNumberFormat="1" applyFont="1" applyBorder="1" applyAlignment="1">
      <alignment horizontal="center"/>
    </xf>
    <xf numFmtId="0" fontId="4" fillId="0" borderId="7" xfId="0" applyFont="1" applyBorder="1"/>
    <xf numFmtId="0" fontId="8" fillId="0" borderId="7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1" fontId="0" fillId="0" borderId="7" xfId="0" applyNumberFormat="1" applyBorder="1"/>
    <xf numFmtId="0" fontId="16" fillId="0" borderId="13" xfId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2" borderId="7" xfId="0" applyFill="1" applyBorder="1"/>
    <xf numFmtId="0" fontId="3" fillId="2" borderId="7" xfId="0" applyFont="1" applyFill="1" applyBorder="1"/>
    <xf numFmtId="0" fontId="0" fillId="3" borderId="0" xfId="0" applyFill="1"/>
    <xf numFmtId="0" fontId="17" fillId="0" borderId="0" xfId="0" applyFont="1"/>
    <xf numFmtId="1" fontId="1" fillId="0" borderId="7" xfId="0" applyNumberFormat="1" applyFont="1" applyBorder="1" applyAlignment="1">
      <alignment horizontal="center"/>
    </xf>
    <xf numFmtId="0" fontId="0" fillId="0" borderId="4" xfId="0" applyBorder="1"/>
    <xf numFmtId="0" fontId="7" fillId="0" borderId="0" xfId="0" applyFont="1"/>
    <xf numFmtId="0" fontId="7" fillId="3" borderId="0" xfId="0" applyFont="1" applyFill="1"/>
    <xf numFmtId="0" fontId="15" fillId="3" borderId="0" xfId="0" applyFont="1" applyFill="1"/>
    <xf numFmtId="0" fontId="7" fillId="0" borderId="0" xfId="0" applyFont="1" applyAlignment="1">
      <alignment horizontal="left"/>
    </xf>
    <xf numFmtId="0" fontId="7" fillId="3" borderId="0" xfId="0" applyFont="1" applyFill="1" applyAlignment="1">
      <alignment horizontal="left"/>
    </xf>
    <xf numFmtId="0" fontId="0" fillId="0" borderId="3" xfId="0" applyBorder="1"/>
    <xf numFmtId="0" fontId="3" fillId="2" borderId="15" xfId="0" applyFont="1" applyFill="1" applyBorder="1"/>
    <xf numFmtId="0" fontId="0" fillId="2" borderId="15" xfId="0" applyFill="1" applyBorder="1"/>
    <xf numFmtId="20" fontId="7" fillId="0" borderId="0" xfId="0" applyNumberFormat="1" applyFont="1" applyAlignment="1">
      <alignment horizontal="left"/>
    </xf>
    <xf numFmtId="0" fontId="1" fillId="0" borderId="0" xfId="0" applyFont="1"/>
    <xf numFmtId="0" fontId="1" fillId="3" borderId="0" xfId="0" applyFont="1" applyFill="1"/>
    <xf numFmtId="0" fontId="4" fillId="4" borderId="0" xfId="0" applyFont="1" applyFill="1"/>
    <xf numFmtId="0" fontId="15" fillId="4" borderId="0" xfId="0" applyFont="1" applyFill="1"/>
    <xf numFmtId="0" fontId="7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0" fillId="0" borderId="16" xfId="0" applyBorder="1"/>
    <xf numFmtId="0" fontId="0" fillId="0" borderId="17" xfId="0" applyBorder="1"/>
    <xf numFmtId="0" fontId="0" fillId="0" borderId="6" xfId="0" applyBorder="1"/>
    <xf numFmtId="0" fontId="1" fillId="3" borderId="18" xfId="0" applyFont="1" applyFill="1" applyBorder="1"/>
    <xf numFmtId="0" fontId="0" fillId="0" borderId="19" xfId="0" applyBorder="1"/>
    <xf numFmtId="0" fontId="0" fillId="0" borderId="18" xfId="0" applyBorder="1"/>
    <xf numFmtId="0" fontId="1" fillId="0" borderId="18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4" borderId="0" xfId="0" applyFill="1" applyProtection="1">
      <protection hidden="1"/>
    </xf>
    <xf numFmtId="0" fontId="4" fillId="4" borderId="0" xfId="0" applyFont="1" applyFill="1" applyProtection="1">
      <protection hidden="1"/>
    </xf>
    <xf numFmtId="0" fontId="4" fillId="4" borderId="4" xfId="0" applyFont="1" applyFill="1" applyBorder="1" applyProtection="1">
      <protection hidden="1"/>
    </xf>
    <xf numFmtId="0" fontId="0" fillId="4" borderId="0" xfId="0" applyFill="1"/>
    <xf numFmtId="0" fontId="0" fillId="4" borderId="4" xfId="0" applyFill="1" applyBorder="1"/>
    <xf numFmtId="0" fontId="0" fillId="0" borderId="0" xfId="0" applyAlignment="1">
      <alignment vertical="top" wrapText="1"/>
    </xf>
    <xf numFmtId="0" fontId="12" fillId="5" borderId="7" xfId="1" applyFont="1" applyFill="1" applyBorder="1" applyAlignment="1">
      <alignment horizontal="center" vertical="center" wrapText="1"/>
    </xf>
    <xf numFmtId="0" fontId="14" fillId="5" borderId="7" xfId="1" applyFont="1" applyFill="1" applyBorder="1" applyAlignment="1">
      <alignment horizontal="center" vertical="center" wrapText="1"/>
    </xf>
    <xf numFmtId="0" fontId="9" fillId="5" borderId="7" xfId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left"/>
    </xf>
    <xf numFmtId="1" fontId="3" fillId="5" borderId="7" xfId="0" applyNumberFormat="1" applyFont="1" applyFill="1" applyBorder="1" applyAlignment="1">
      <alignment horizontal="left"/>
    </xf>
    <xf numFmtId="0" fontId="4" fillId="5" borderId="7" xfId="0" applyFont="1" applyFill="1" applyBorder="1"/>
    <xf numFmtId="0" fontId="6" fillId="5" borderId="7" xfId="1" applyFont="1" applyFill="1" applyBorder="1" applyAlignment="1">
      <alignment horizontal="center" vertical="center" wrapText="1"/>
    </xf>
    <xf numFmtId="0" fontId="6" fillId="5" borderId="7" xfId="1" applyFont="1" applyFill="1" applyBorder="1" applyAlignment="1">
      <alignment horizontal="center" vertical="center"/>
    </xf>
    <xf numFmtId="1" fontId="6" fillId="5" borderId="7" xfId="1" applyNumberFormat="1" applyFont="1" applyFill="1" applyBorder="1" applyAlignment="1">
      <alignment horizontal="center" vertical="center" wrapText="1"/>
    </xf>
    <xf numFmtId="0" fontId="9" fillId="5" borderId="7" xfId="1" applyFont="1" applyFill="1" applyBorder="1" applyAlignment="1">
      <alignment horizontal="center" vertical="center"/>
    </xf>
    <xf numFmtId="0" fontId="10" fillId="5" borderId="7" xfId="0" applyFont="1" applyFill="1" applyBorder="1"/>
    <xf numFmtId="0" fontId="20" fillId="6" borderId="7" xfId="0" applyFont="1" applyFill="1" applyBorder="1" applyAlignment="1">
      <alignment vertical="top" wrapText="1"/>
    </xf>
    <xf numFmtId="0" fontId="20" fillId="6" borderId="1" xfId="0" applyFont="1" applyFill="1" applyBorder="1" applyAlignment="1">
      <alignment vertical="top" wrapText="1"/>
    </xf>
    <xf numFmtId="0" fontId="21" fillId="7" borderId="2" xfId="0" applyFont="1" applyFill="1" applyBorder="1" applyAlignment="1" applyProtection="1">
      <alignment vertical="top" wrapText="1"/>
      <protection hidden="1"/>
    </xf>
    <xf numFmtId="0" fontId="20" fillId="6" borderId="0" xfId="0" applyFont="1" applyFill="1" applyAlignment="1">
      <alignment vertical="top" wrapText="1"/>
    </xf>
    <xf numFmtId="0" fontId="0" fillId="5" borderId="7" xfId="0" applyFill="1" applyBorder="1" applyAlignment="1">
      <alignment vertical="center" wrapText="1"/>
    </xf>
    <xf numFmtId="0" fontId="1" fillId="4" borderId="0" xfId="0" applyFont="1" applyFill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1" fillId="0" borderId="22" xfId="0" applyFont="1" applyBorder="1"/>
    <xf numFmtId="0" fontId="3" fillId="8" borderId="0" xfId="0" applyFont="1" applyFill="1"/>
    <xf numFmtId="0" fontId="23" fillId="8" borderId="0" xfId="2" applyFont="1" applyFill="1"/>
    <xf numFmtId="0" fontId="0" fillId="8" borderId="0" xfId="0" applyFill="1"/>
    <xf numFmtId="0" fontId="7" fillId="0" borderId="7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left" vertical="center" wrapText="1"/>
    </xf>
    <xf numFmtId="0" fontId="7" fillId="0" borderId="10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15" fillId="0" borderId="7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10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6" fillId="0" borderId="7" xfId="1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 wrapText="1"/>
    </xf>
    <xf numFmtId="0" fontId="16" fillId="0" borderId="14" xfId="1" applyFont="1" applyBorder="1" applyAlignment="1">
      <alignment horizontal="center" vertical="center" wrapText="1"/>
    </xf>
    <xf numFmtId="0" fontId="3" fillId="0" borderId="7" xfId="0" applyFont="1" applyBorder="1" applyAlignment="1">
      <alignment horizontal="left"/>
    </xf>
    <xf numFmtId="0" fontId="0" fillId="0" borderId="0" xfId="0" applyBorder="1" applyAlignment="1">
      <alignment vertical="center" wrapText="1"/>
    </xf>
    <xf numFmtId="0" fontId="12" fillId="0" borderId="0" xfId="1" applyFont="1" applyBorder="1" applyAlignment="1">
      <alignment horizontal="center" vertical="center" wrapText="1"/>
    </xf>
    <xf numFmtId="0" fontId="12" fillId="0" borderId="0" xfId="1" applyFont="1" applyBorder="1" applyAlignment="1">
      <alignment vertical="center" wrapText="1"/>
    </xf>
    <xf numFmtId="0" fontId="1" fillId="0" borderId="0" xfId="0" applyFont="1" applyBorder="1" applyAlignment="1">
      <alignment horizont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vertical="center" wrapText="1"/>
    </xf>
    <xf numFmtId="0" fontId="0" fillId="0" borderId="0" xfId="0" applyBorder="1"/>
    <xf numFmtId="0" fontId="13" fillId="0" borderId="7" xfId="1" applyFont="1" applyBorder="1" applyAlignment="1">
      <alignment horizontal="center" vertical="center" wrapText="1"/>
    </xf>
  </cellXfs>
  <cellStyles count="3">
    <cellStyle name="Hyperlink" xfId="2" builtinId="8"/>
    <cellStyle name="Normal" xfId="0" builtinId="0"/>
    <cellStyle name="Normal 2" xfId="1" xr:uid="{00000000-0005-0000-0000-000001000000}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LASSROOMID!A1"/><Relationship Id="rId2" Type="http://schemas.openxmlformats.org/officeDocument/2006/relationships/hyperlink" Target="#CLASSID!A1"/><Relationship Id="rId1" Type="http://schemas.openxmlformats.org/officeDocument/2006/relationships/hyperlink" Target="#FACULTYID!A1"/><Relationship Id="rId4" Type="http://schemas.openxmlformats.org/officeDocument/2006/relationships/hyperlink" Target="#T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99060</xdr:colOff>
      <xdr:row>9</xdr:row>
      <xdr:rowOff>15240</xdr:rowOff>
    </xdr:from>
    <xdr:to>
      <xdr:col>2</xdr:col>
      <xdr:colOff>1623060</xdr:colOff>
      <xdr:row>11</xdr:row>
      <xdr:rowOff>15240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81300" y="1706880"/>
          <a:ext cx="1524000" cy="3352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OPEN FACULTY CONF.</a:t>
          </a:r>
        </a:p>
      </xdr:txBody>
    </xdr:sp>
    <xdr:clientData/>
  </xdr:twoCellAnchor>
  <xdr:twoCellAnchor>
    <xdr:from>
      <xdr:col>2</xdr:col>
      <xdr:colOff>106680</xdr:colOff>
      <xdr:row>12</xdr:row>
      <xdr:rowOff>0</xdr:rowOff>
    </xdr:from>
    <xdr:to>
      <xdr:col>2</xdr:col>
      <xdr:colOff>1630680</xdr:colOff>
      <xdr:row>14</xdr:row>
      <xdr:rowOff>45720</xdr:rowOff>
    </xdr:to>
    <xdr:sp macro="" textlink="">
      <xdr:nvSpPr>
        <xdr:cNvPr id="5" name="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88920" y="1851660"/>
          <a:ext cx="1524000" cy="4114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OPEN CLASS CONF.</a:t>
          </a:r>
        </a:p>
      </xdr:txBody>
    </xdr:sp>
    <xdr:clientData/>
  </xdr:twoCellAnchor>
  <xdr:twoCellAnchor>
    <xdr:from>
      <xdr:col>2</xdr:col>
      <xdr:colOff>83820</xdr:colOff>
      <xdr:row>15</xdr:row>
      <xdr:rowOff>0</xdr:rowOff>
    </xdr:from>
    <xdr:to>
      <xdr:col>3</xdr:col>
      <xdr:colOff>182880</xdr:colOff>
      <xdr:row>16</xdr:row>
      <xdr:rowOff>121920</xdr:rowOff>
    </xdr:to>
    <xdr:sp macro="" textlink="">
      <xdr:nvSpPr>
        <xdr:cNvPr id="7" name="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766060" y="2377440"/>
          <a:ext cx="185166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OPEN CLASS ROOMCONF.</a:t>
          </a:r>
        </a:p>
      </xdr:txBody>
    </xdr:sp>
    <xdr:clientData/>
  </xdr:twoCellAnchor>
  <xdr:twoCellAnchor>
    <xdr:from>
      <xdr:col>2</xdr:col>
      <xdr:colOff>83820</xdr:colOff>
      <xdr:row>18</xdr:row>
      <xdr:rowOff>0</xdr:rowOff>
    </xdr:from>
    <xdr:to>
      <xdr:col>3</xdr:col>
      <xdr:colOff>182880</xdr:colOff>
      <xdr:row>19</xdr:row>
      <xdr:rowOff>121920</xdr:rowOff>
    </xdr:to>
    <xdr:sp macro="" textlink="">
      <xdr:nvSpPr>
        <xdr:cNvPr id="9" name="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766060" y="2926080"/>
          <a:ext cx="185166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ENTER</a:t>
          </a:r>
          <a:r>
            <a:rPr lang="en-US" sz="1100" baseline="0"/>
            <a:t> TIME TABLE DETAILS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15240</xdr:rowOff>
        </xdr:from>
        <xdr:to>
          <xdr:col>11</xdr:col>
          <xdr:colOff>259080</xdr:colOff>
          <xdr:row>5</xdr:row>
          <xdr:rowOff>7620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0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FACULTY TIMETABLES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777240</xdr:colOff>
          <xdr:row>5</xdr:row>
          <xdr:rowOff>152400</xdr:rowOff>
        </xdr:from>
        <xdr:to>
          <xdr:col>11</xdr:col>
          <xdr:colOff>274320</xdr:colOff>
          <xdr:row>8</xdr:row>
          <xdr:rowOff>144780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0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CLASS TIMETABLES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784860</xdr:colOff>
          <xdr:row>9</xdr:row>
          <xdr:rowOff>175260</xdr:rowOff>
        </xdr:from>
        <xdr:to>
          <xdr:col>11</xdr:col>
          <xdr:colOff>251460</xdr:colOff>
          <xdr:row>13</xdr:row>
          <xdr:rowOff>15240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00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CLASSROOM TIMETABLES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0</xdr:row>
          <xdr:rowOff>152400</xdr:rowOff>
        </xdr:from>
        <xdr:to>
          <xdr:col>10</xdr:col>
          <xdr:colOff>15240</xdr:colOff>
          <xdr:row>3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FACULTY TIME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1</xdr:row>
          <xdr:rowOff>144780</xdr:rowOff>
        </xdr:from>
        <xdr:to>
          <xdr:col>9</xdr:col>
          <xdr:colOff>220980</xdr:colOff>
          <xdr:row>4</xdr:row>
          <xdr:rowOff>22860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CLASS 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1</xdr:row>
          <xdr:rowOff>0</xdr:rowOff>
        </xdr:from>
        <xdr:to>
          <xdr:col>9</xdr:col>
          <xdr:colOff>449580</xdr:colOff>
          <xdr:row>3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CLASSROOM TT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enruhak@gmail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C6DC6-5CB1-4C3D-88D0-79AC9CFB00BE}">
  <sheetPr codeName="Sheet5"/>
  <dimension ref="A1:S25"/>
  <sheetViews>
    <sheetView tabSelected="1" workbookViewId="0">
      <selection activeCell="P9" sqref="P9"/>
    </sheetView>
  </sheetViews>
  <sheetFormatPr defaultRowHeight="14.4" x14ac:dyDescent="0.3"/>
  <cols>
    <col min="2" max="2" width="30.21875" bestFit="1" customWidth="1"/>
    <col min="3" max="3" width="25.5546875" customWidth="1"/>
    <col min="6" max="6" width="12" bestFit="1" customWidth="1"/>
  </cols>
  <sheetData>
    <row r="1" spans="1:19" ht="21.6" thickBot="1" x14ac:dyDescent="0.45">
      <c r="A1" s="39"/>
      <c r="B1" s="40"/>
      <c r="C1" s="40"/>
      <c r="D1" s="41"/>
      <c r="O1" s="76" t="s">
        <v>140</v>
      </c>
      <c r="P1" s="76"/>
      <c r="Q1" s="76"/>
      <c r="R1" s="78"/>
      <c r="S1" s="78"/>
    </row>
    <row r="2" spans="1:19" ht="21" x14ac:dyDescent="0.4">
      <c r="A2" s="42" t="s">
        <v>116</v>
      </c>
      <c r="B2" s="33" t="s">
        <v>117</v>
      </c>
      <c r="D2" s="43"/>
      <c r="F2" s="39"/>
      <c r="G2" s="40"/>
      <c r="H2" s="40"/>
      <c r="I2" s="40"/>
      <c r="J2" s="40"/>
      <c r="K2" s="40"/>
      <c r="L2" s="41"/>
      <c r="O2" s="77" t="s">
        <v>141</v>
      </c>
      <c r="P2" s="76"/>
      <c r="Q2" s="76"/>
    </row>
    <row r="3" spans="1:19" x14ac:dyDescent="0.3">
      <c r="A3" s="44"/>
      <c r="D3" s="43"/>
      <c r="F3" s="44"/>
      <c r="L3" s="43"/>
    </row>
    <row r="4" spans="1:19" x14ac:dyDescent="0.3">
      <c r="A4" s="44"/>
      <c r="B4" s="32" t="s">
        <v>118</v>
      </c>
      <c r="C4" t="s">
        <v>142</v>
      </c>
      <c r="D4" s="43"/>
      <c r="F4" s="44"/>
      <c r="L4" s="43"/>
    </row>
    <row r="5" spans="1:19" x14ac:dyDescent="0.3">
      <c r="A5" s="44"/>
      <c r="D5" s="43"/>
      <c r="F5" s="44"/>
      <c r="L5" s="43"/>
    </row>
    <row r="6" spans="1:19" x14ac:dyDescent="0.3">
      <c r="A6" s="44"/>
      <c r="B6" s="32" t="s">
        <v>119</v>
      </c>
      <c r="C6" t="s">
        <v>143</v>
      </c>
      <c r="D6" s="43"/>
      <c r="F6" s="44"/>
      <c r="L6" s="43"/>
    </row>
    <row r="7" spans="1:19" x14ac:dyDescent="0.3">
      <c r="A7" s="44"/>
      <c r="D7" s="43"/>
      <c r="F7" s="44"/>
      <c r="L7" s="43"/>
    </row>
    <row r="8" spans="1:19" x14ac:dyDescent="0.3">
      <c r="A8" s="44"/>
      <c r="B8" s="32" t="s">
        <v>135</v>
      </c>
      <c r="C8" t="s">
        <v>144</v>
      </c>
      <c r="D8" s="43"/>
      <c r="F8" s="44"/>
      <c r="L8" s="43"/>
    </row>
    <row r="9" spans="1:19" x14ac:dyDescent="0.3">
      <c r="A9" s="44"/>
      <c r="D9" s="43"/>
      <c r="F9" s="44"/>
      <c r="L9" s="43"/>
    </row>
    <row r="10" spans="1:19" x14ac:dyDescent="0.3">
      <c r="A10" s="45" t="s">
        <v>121</v>
      </c>
      <c r="B10" s="32" t="s">
        <v>122</v>
      </c>
      <c r="D10" s="43"/>
      <c r="F10" s="45"/>
      <c r="G10" s="32"/>
      <c r="H10" s="32"/>
      <c r="I10" s="32"/>
      <c r="J10" s="32"/>
      <c r="K10" s="32"/>
      <c r="L10" s="72"/>
      <c r="M10" s="32"/>
      <c r="N10" s="32"/>
      <c r="O10" s="32"/>
      <c r="P10" s="32"/>
      <c r="Q10" s="32"/>
      <c r="R10" s="32"/>
    </row>
    <row r="11" spans="1:19" ht="12" customHeight="1" x14ac:dyDescent="0.3">
      <c r="A11" s="45"/>
      <c r="B11" s="32"/>
      <c r="D11" s="43"/>
      <c r="F11" s="45"/>
      <c r="G11" s="32"/>
      <c r="H11" s="32"/>
      <c r="I11" s="32"/>
      <c r="J11" s="32"/>
      <c r="K11" s="32"/>
      <c r="L11" s="72"/>
      <c r="M11" s="32"/>
      <c r="N11" s="32"/>
      <c r="O11" s="32"/>
      <c r="P11" s="32"/>
      <c r="Q11" s="32"/>
      <c r="R11" s="32"/>
    </row>
    <row r="12" spans="1:19" x14ac:dyDescent="0.3">
      <c r="A12" s="45"/>
      <c r="B12" s="32"/>
      <c r="D12" s="43"/>
      <c r="F12" s="45"/>
      <c r="G12" s="32"/>
      <c r="H12" s="32"/>
      <c r="I12" s="32"/>
      <c r="J12" s="32"/>
      <c r="K12" s="32"/>
      <c r="L12" s="72"/>
      <c r="M12" s="32"/>
      <c r="N12" s="32"/>
      <c r="O12" s="32"/>
      <c r="P12" s="32"/>
      <c r="Q12" s="32"/>
      <c r="R12" s="32"/>
    </row>
    <row r="13" spans="1:19" x14ac:dyDescent="0.3">
      <c r="A13" s="45" t="s">
        <v>123</v>
      </c>
      <c r="B13" s="32" t="s">
        <v>124</v>
      </c>
      <c r="D13" s="43"/>
      <c r="F13" s="45"/>
      <c r="G13" s="32"/>
      <c r="H13" s="32"/>
      <c r="I13" s="32"/>
      <c r="J13" s="32"/>
      <c r="K13" s="32"/>
      <c r="L13" s="72"/>
      <c r="M13" s="32"/>
      <c r="N13" s="32"/>
      <c r="O13" s="32"/>
      <c r="P13" s="32"/>
      <c r="Q13" s="32"/>
      <c r="R13" s="32"/>
    </row>
    <row r="14" spans="1:19" ht="6" customHeight="1" x14ac:dyDescent="0.3">
      <c r="A14" s="45"/>
      <c r="B14" s="32"/>
      <c r="D14" s="43"/>
      <c r="F14" s="45"/>
      <c r="G14" s="32"/>
      <c r="H14" s="32"/>
      <c r="I14" s="32"/>
      <c r="J14" s="32"/>
      <c r="K14" s="32"/>
      <c r="L14" s="72"/>
      <c r="M14" s="32"/>
      <c r="N14" s="32"/>
      <c r="O14" s="32"/>
      <c r="P14" s="32"/>
      <c r="Q14" s="32"/>
      <c r="R14" s="32"/>
    </row>
    <row r="15" spans="1:19" ht="25.2" customHeight="1" thickBot="1" x14ac:dyDescent="0.35">
      <c r="A15" s="45"/>
      <c r="B15" s="32"/>
      <c r="D15" s="43"/>
      <c r="F15" s="73"/>
      <c r="G15" s="74"/>
      <c r="H15" s="74"/>
      <c r="I15" s="74"/>
      <c r="J15" s="74"/>
      <c r="K15" s="74"/>
      <c r="L15" s="75"/>
      <c r="M15" s="32"/>
      <c r="N15" s="32"/>
      <c r="O15" s="32"/>
      <c r="P15" s="32"/>
      <c r="Q15" s="32"/>
      <c r="R15" s="32"/>
    </row>
    <row r="16" spans="1:19" x14ac:dyDescent="0.3">
      <c r="A16" s="45" t="s">
        <v>125</v>
      </c>
      <c r="B16" s="32" t="s">
        <v>126</v>
      </c>
      <c r="D16" s="43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</row>
    <row r="17" spans="1:18" x14ac:dyDescent="0.3">
      <c r="A17" s="45"/>
      <c r="B17" s="32"/>
      <c r="D17" s="43"/>
      <c r="F17" s="32" t="s">
        <v>130</v>
      </c>
      <c r="G17" s="32">
        <v>1</v>
      </c>
      <c r="H17" s="32" t="s">
        <v>131</v>
      </c>
      <c r="I17" s="32"/>
      <c r="J17" s="32"/>
      <c r="K17" s="32"/>
      <c r="L17" s="32"/>
      <c r="M17" s="32"/>
      <c r="N17" s="32"/>
      <c r="O17" s="32"/>
      <c r="P17" s="32"/>
      <c r="Q17" s="32"/>
      <c r="R17" s="32"/>
    </row>
    <row r="18" spans="1:18" x14ac:dyDescent="0.3">
      <c r="A18" s="45"/>
      <c r="B18" s="32"/>
      <c r="D18" s="43"/>
      <c r="F18" s="32"/>
      <c r="G18" s="32"/>
      <c r="H18" s="32" t="s">
        <v>132</v>
      </c>
      <c r="I18" s="32"/>
      <c r="J18" s="32"/>
      <c r="K18" s="32"/>
      <c r="L18" s="32"/>
      <c r="M18" s="32"/>
      <c r="N18" s="32"/>
      <c r="O18" s="32"/>
      <c r="P18" s="32"/>
      <c r="Q18" s="32"/>
      <c r="R18" s="32"/>
    </row>
    <row r="19" spans="1:18" x14ac:dyDescent="0.3">
      <c r="A19" s="45" t="s">
        <v>127</v>
      </c>
      <c r="B19" s="32" t="s">
        <v>128</v>
      </c>
      <c r="D19" s="43"/>
      <c r="F19" s="32"/>
      <c r="G19" s="32">
        <v>2</v>
      </c>
      <c r="H19" s="32" t="s">
        <v>133</v>
      </c>
      <c r="I19" s="32"/>
      <c r="J19" s="32"/>
      <c r="K19" s="32"/>
      <c r="L19" s="32"/>
      <c r="M19" s="32"/>
      <c r="N19" s="32"/>
      <c r="O19" s="32"/>
      <c r="P19" s="32"/>
      <c r="Q19" s="32"/>
      <c r="R19" s="32"/>
    </row>
    <row r="20" spans="1:18" ht="18" x14ac:dyDescent="0.35">
      <c r="A20" s="44"/>
      <c r="D20" s="43"/>
      <c r="F20" s="32"/>
      <c r="G20" s="36">
        <v>3</v>
      </c>
      <c r="H20" s="36" t="s">
        <v>134</v>
      </c>
      <c r="I20" s="71"/>
      <c r="J20" s="71"/>
      <c r="K20" s="71"/>
      <c r="L20" s="71"/>
      <c r="M20" s="71"/>
      <c r="N20" s="71"/>
      <c r="O20" s="71"/>
      <c r="P20" s="71"/>
      <c r="Q20" s="71"/>
      <c r="R20" s="32"/>
    </row>
    <row r="21" spans="1:18" x14ac:dyDescent="0.3">
      <c r="A21" s="44"/>
      <c r="D21" s="43"/>
      <c r="F21" s="32"/>
      <c r="G21" s="32">
        <v>4</v>
      </c>
      <c r="H21" s="32" t="s">
        <v>136</v>
      </c>
      <c r="I21" s="32"/>
      <c r="J21" s="32"/>
      <c r="K21" s="32"/>
      <c r="L21" s="32"/>
      <c r="M21" s="32"/>
      <c r="N21" s="32"/>
      <c r="O21" s="32"/>
      <c r="P21" s="32"/>
      <c r="Q21" s="32"/>
      <c r="R21" s="32"/>
    </row>
    <row r="22" spans="1:18" ht="15" thickBot="1" x14ac:dyDescent="0.35">
      <c r="A22" s="46"/>
      <c r="B22" s="47"/>
      <c r="C22" s="47"/>
      <c r="D22" s="48"/>
      <c r="F22" s="32"/>
      <c r="G22" s="32">
        <v>5</v>
      </c>
      <c r="H22" s="32" t="s">
        <v>137</v>
      </c>
      <c r="I22" s="32"/>
      <c r="J22" s="32"/>
      <c r="K22" s="32"/>
      <c r="L22" s="32"/>
      <c r="M22" s="32"/>
      <c r="N22" s="32"/>
      <c r="O22" s="32"/>
      <c r="P22" s="32"/>
      <c r="Q22" s="32"/>
      <c r="R22" s="32"/>
    </row>
    <row r="23" spans="1:18" x14ac:dyDescent="0.3">
      <c r="F23" s="32"/>
      <c r="G23" s="32"/>
      <c r="H23" s="32" t="s">
        <v>138</v>
      </c>
      <c r="I23" s="32"/>
      <c r="J23" s="32"/>
      <c r="K23" s="32"/>
      <c r="L23" s="32"/>
      <c r="M23" s="32"/>
      <c r="N23" s="32"/>
      <c r="O23" s="32"/>
      <c r="P23" s="32"/>
      <c r="Q23" s="32"/>
      <c r="R23" s="32"/>
    </row>
    <row r="24" spans="1:18" x14ac:dyDescent="0.3">
      <c r="F24" s="32"/>
      <c r="G24" s="32"/>
      <c r="H24" s="32" t="s">
        <v>139</v>
      </c>
      <c r="I24" s="32"/>
      <c r="J24" s="32"/>
      <c r="K24" s="32"/>
      <c r="L24" s="32"/>
      <c r="M24" s="32"/>
      <c r="N24" s="32"/>
      <c r="O24" s="32"/>
      <c r="P24" s="32"/>
      <c r="Q24" s="32"/>
      <c r="R24" s="32"/>
    </row>
    <row r="25" spans="1:18" x14ac:dyDescent="0.3">
      <c r="G25" s="32">
        <v>5</v>
      </c>
      <c r="H25" s="32" t="s">
        <v>159</v>
      </c>
    </row>
  </sheetData>
  <hyperlinks>
    <hyperlink ref="O2" r:id="rId1" xr:uid="{72D93161-F7AB-4A86-AE89-A96EFD5B977A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7" r:id="rId5" name="Button 3">
              <controlPr defaultSize="0" print="0" autoFill="0" autoPict="0" macro="[0]!Master_CREATE_FAC_TTS">
                <anchor moveWithCells="1" sizeWithCells="1">
                  <from>
                    <xdr:col>6</xdr:col>
                    <xdr:colOff>0</xdr:colOff>
                    <xdr:row>2</xdr:row>
                    <xdr:rowOff>15240</xdr:rowOff>
                  </from>
                  <to>
                    <xdr:col>11</xdr:col>
                    <xdr:colOff>259080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6" name="Button 5">
              <controlPr defaultSize="0" print="0" autoFill="0" autoPict="0" macro="[0]!Master_CREATE_CLASSTT">
                <anchor moveWithCells="1" sizeWithCells="1">
                  <from>
                    <xdr:col>5</xdr:col>
                    <xdr:colOff>777240</xdr:colOff>
                    <xdr:row>5</xdr:row>
                    <xdr:rowOff>152400</xdr:rowOff>
                  </from>
                  <to>
                    <xdr:col>11</xdr:col>
                    <xdr:colOff>274320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7" name="Button 6">
              <controlPr defaultSize="0" print="0" autoFill="0" autoPict="0" macro="[0]!Master_CREATE_ROOMTTS">
                <anchor moveWithCells="1" sizeWithCells="1">
                  <from>
                    <xdr:col>5</xdr:col>
                    <xdr:colOff>784860</xdr:colOff>
                    <xdr:row>9</xdr:row>
                    <xdr:rowOff>175260</xdr:rowOff>
                  </from>
                  <to>
                    <xdr:col>11</xdr:col>
                    <xdr:colOff>251460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7"/>
  <sheetViews>
    <sheetView workbookViewId="0">
      <selection activeCell="D20" sqref="D20"/>
    </sheetView>
  </sheetViews>
  <sheetFormatPr defaultRowHeight="14.4" x14ac:dyDescent="0.3"/>
  <cols>
    <col min="1" max="1" width="5.5546875" bestFit="1" customWidth="1"/>
    <col min="2" max="2" width="16.21875" bestFit="1" customWidth="1"/>
    <col min="3" max="3" width="8.33203125" bestFit="1" customWidth="1"/>
    <col min="4" max="4" width="7.88671875" bestFit="1" customWidth="1"/>
  </cols>
  <sheetData>
    <row r="1" spans="1:4" ht="18" x14ac:dyDescent="0.35">
      <c r="A1" s="35" t="s">
        <v>106</v>
      </c>
      <c r="B1" s="25" t="s">
        <v>107</v>
      </c>
      <c r="C1" s="35" t="s">
        <v>82</v>
      </c>
      <c r="D1" s="35" t="s">
        <v>48</v>
      </c>
    </row>
    <row r="2" spans="1:4" ht="18" x14ac:dyDescent="0.35">
      <c r="A2" s="36">
        <v>0</v>
      </c>
      <c r="B2" s="23" t="s">
        <v>76</v>
      </c>
      <c r="C2" s="36" t="s">
        <v>70</v>
      </c>
      <c r="D2" s="36">
        <v>0</v>
      </c>
    </row>
    <row r="3" spans="1:4" ht="18" x14ac:dyDescent="0.35">
      <c r="A3" s="36">
        <v>1</v>
      </c>
      <c r="B3" s="23" t="s">
        <v>77</v>
      </c>
      <c r="C3" s="36" t="s">
        <v>71</v>
      </c>
      <c r="D3" s="36">
        <v>1</v>
      </c>
    </row>
    <row r="4" spans="1:4" ht="18" x14ac:dyDescent="0.35">
      <c r="A4" s="36">
        <v>2</v>
      </c>
      <c r="B4" s="23" t="s">
        <v>78</v>
      </c>
      <c r="C4" s="36" t="s">
        <v>72</v>
      </c>
      <c r="D4" s="36">
        <v>2</v>
      </c>
    </row>
    <row r="5" spans="1:4" ht="18" x14ac:dyDescent="0.35">
      <c r="A5" s="36">
        <v>3</v>
      </c>
      <c r="B5" s="23" t="s">
        <v>79</v>
      </c>
      <c r="C5" s="36" t="s">
        <v>73</v>
      </c>
      <c r="D5" s="36">
        <v>3</v>
      </c>
    </row>
    <row r="6" spans="1:4" ht="18" x14ac:dyDescent="0.35">
      <c r="A6" s="36">
        <v>4</v>
      </c>
      <c r="B6" s="23" t="s">
        <v>80</v>
      </c>
      <c r="C6" s="36" t="s">
        <v>74</v>
      </c>
      <c r="D6" s="36">
        <v>4</v>
      </c>
    </row>
    <row r="7" spans="1:4" ht="18" x14ac:dyDescent="0.35">
      <c r="A7" s="36">
        <v>5</v>
      </c>
      <c r="B7" s="23" t="s">
        <v>81</v>
      </c>
      <c r="C7" s="36" t="s">
        <v>75</v>
      </c>
      <c r="D7" s="36">
        <v>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8"/>
  <sheetViews>
    <sheetView workbookViewId="0">
      <selection activeCell="F9" sqref="F9"/>
    </sheetView>
  </sheetViews>
  <sheetFormatPr defaultRowHeight="14.4" x14ac:dyDescent="0.3"/>
  <cols>
    <col min="2" max="3" width="8.88671875" style="16"/>
  </cols>
  <sheetData>
    <row r="1" spans="1:3" ht="18" x14ac:dyDescent="0.35">
      <c r="A1" s="24" t="s">
        <v>0</v>
      </c>
      <c r="B1" s="27" t="s">
        <v>1</v>
      </c>
      <c r="C1" s="27" t="s">
        <v>2</v>
      </c>
    </row>
    <row r="2" spans="1:3" ht="18" x14ac:dyDescent="0.35">
      <c r="A2" s="23">
        <v>1</v>
      </c>
      <c r="B2" s="31">
        <v>0.4548611111111111</v>
      </c>
      <c r="C2" s="31">
        <v>0.49652777777777773</v>
      </c>
    </row>
    <row r="3" spans="1:3" ht="18" x14ac:dyDescent="0.35">
      <c r="A3" s="23">
        <v>2</v>
      </c>
      <c r="B3" s="31">
        <v>0.49652777777777773</v>
      </c>
      <c r="C3" s="31">
        <v>0.53819444444444442</v>
      </c>
    </row>
    <row r="4" spans="1:3" ht="18" x14ac:dyDescent="0.35">
      <c r="A4" s="23">
        <v>3</v>
      </c>
      <c r="B4" s="31">
        <v>0.55555555555555558</v>
      </c>
      <c r="C4" s="31">
        <v>0.59722222222222221</v>
      </c>
    </row>
    <row r="5" spans="1:3" ht="18" x14ac:dyDescent="0.35">
      <c r="A5" s="23">
        <v>4</v>
      </c>
      <c r="B5" s="31">
        <v>0.59722222222222221</v>
      </c>
      <c r="C5" s="31">
        <v>0.63888888888888895</v>
      </c>
    </row>
    <row r="6" spans="1:3" ht="18" x14ac:dyDescent="0.35">
      <c r="A6" s="23">
        <v>5</v>
      </c>
      <c r="B6" s="31">
        <v>0.64583333333333337</v>
      </c>
      <c r="C6" s="26" t="s">
        <v>4</v>
      </c>
    </row>
    <row r="7" spans="1:3" ht="18" x14ac:dyDescent="0.35">
      <c r="A7" s="23">
        <v>6</v>
      </c>
      <c r="B7" s="26" t="s">
        <v>4</v>
      </c>
      <c r="C7" s="26" t="s">
        <v>5</v>
      </c>
    </row>
    <row r="8" spans="1:3" ht="18" x14ac:dyDescent="0.35">
      <c r="A8" s="23">
        <v>0</v>
      </c>
      <c r="B8" s="26" t="s">
        <v>87</v>
      </c>
      <c r="C8" s="26" t="s">
        <v>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1"/>
  <sheetViews>
    <sheetView workbookViewId="0">
      <pane ySplit="1" topLeftCell="A2" activePane="bottomLeft" state="frozen"/>
      <selection pane="bottomLeft" activeCell="B17" sqref="B17"/>
    </sheetView>
  </sheetViews>
  <sheetFormatPr defaultRowHeight="14.4" x14ac:dyDescent="0.3"/>
  <cols>
    <col min="1" max="1" width="3.6640625" style="16" bestFit="1" customWidth="1"/>
    <col min="2" max="2" width="52.21875" bestFit="1" customWidth="1"/>
    <col min="3" max="3" width="15.44140625" bestFit="1" customWidth="1"/>
    <col min="4" max="4" width="52.21875" bestFit="1" customWidth="1"/>
    <col min="5" max="5" width="26.88671875" bestFit="1" customWidth="1"/>
  </cols>
  <sheetData>
    <row r="1" spans="1:5" ht="18" x14ac:dyDescent="0.35">
      <c r="A1" s="24" t="s">
        <v>6</v>
      </c>
      <c r="B1" s="24" t="s">
        <v>103</v>
      </c>
      <c r="C1" s="24" t="s">
        <v>104</v>
      </c>
      <c r="D1" s="24" t="s">
        <v>103</v>
      </c>
      <c r="E1" s="33" t="s">
        <v>105</v>
      </c>
    </row>
    <row r="2" spans="1:5" ht="18" x14ac:dyDescent="0.35">
      <c r="A2" s="4" t="s">
        <v>7</v>
      </c>
      <c r="B2" s="4" t="s">
        <v>145</v>
      </c>
      <c r="C2" s="4" t="s">
        <v>90</v>
      </c>
      <c r="D2" s="34" t="str">
        <f t="shared" ref="D2:D10" si="0">B2</f>
        <v>PROF. A A PATEL ( ASST. PROF )</v>
      </c>
      <c r="E2">
        <v>1</v>
      </c>
    </row>
    <row r="3" spans="1:5" ht="18" x14ac:dyDescent="0.35">
      <c r="A3" s="4" t="s">
        <v>8</v>
      </c>
      <c r="B3" s="4" t="s">
        <v>146</v>
      </c>
      <c r="C3" s="4" t="s">
        <v>148</v>
      </c>
      <c r="D3" s="34" t="str">
        <f t="shared" si="0"/>
        <v>PROF. G G PATEL ( ASST. PROF )</v>
      </c>
      <c r="E3">
        <v>1</v>
      </c>
    </row>
    <row r="4" spans="1:5" ht="18" x14ac:dyDescent="0.35">
      <c r="A4" s="4" t="s">
        <v>9</v>
      </c>
      <c r="B4" s="4" t="s">
        <v>147</v>
      </c>
      <c r="C4" s="4" t="s">
        <v>149</v>
      </c>
      <c r="D4" s="34" t="str">
        <f t="shared" si="0"/>
        <v>PROF. Y Y DESAI ( ASST. PROF )</v>
      </c>
      <c r="E4">
        <v>1</v>
      </c>
    </row>
    <row r="5" spans="1:5" ht="18" x14ac:dyDescent="0.35">
      <c r="A5" s="4" t="s">
        <v>10</v>
      </c>
      <c r="B5" s="4"/>
      <c r="C5" s="4"/>
      <c r="D5" s="34">
        <f t="shared" si="0"/>
        <v>0</v>
      </c>
    </row>
    <row r="6" spans="1:5" ht="18" x14ac:dyDescent="0.35">
      <c r="A6" s="4" t="s">
        <v>11</v>
      </c>
      <c r="B6" s="4"/>
      <c r="C6" s="4"/>
      <c r="D6" s="34">
        <f t="shared" si="0"/>
        <v>0</v>
      </c>
    </row>
    <row r="7" spans="1:5" ht="18" x14ac:dyDescent="0.35">
      <c r="A7" s="4" t="s">
        <v>12</v>
      </c>
      <c r="B7" s="4"/>
      <c r="C7" s="4"/>
      <c r="D7" s="34">
        <f t="shared" si="0"/>
        <v>0</v>
      </c>
    </row>
    <row r="8" spans="1:5" ht="18" x14ac:dyDescent="0.35">
      <c r="A8" s="4" t="s">
        <v>13</v>
      </c>
      <c r="B8" s="4"/>
      <c r="C8" s="4"/>
      <c r="D8" s="34">
        <f t="shared" si="0"/>
        <v>0</v>
      </c>
    </row>
    <row r="9" spans="1:5" ht="18" x14ac:dyDescent="0.35">
      <c r="A9" s="4" t="s">
        <v>14</v>
      </c>
      <c r="B9" s="4"/>
      <c r="C9" s="4"/>
      <c r="D9" s="34">
        <f t="shared" si="0"/>
        <v>0</v>
      </c>
    </row>
    <row r="10" spans="1:5" ht="18" x14ac:dyDescent="0.35">
      <c r="A10" s="4" t="s">
        <v>15</v>
      </c>
      <c r="B10" s="4"/>
      <c r="C10" s="4"/>
      <c r="D10" s="34">
        <f t="shared" si="0"/>
        <v>0</v>
      </c>
    </row>
    <row r="11" spans="1:5" ht="18" x14ac:dyDescent="0.35">
      <c r="A11" s="4" t="s">
        <v>16</v>
      </c>
      <c r="B11" s="4"/>
      <c r="C11" s="4"/>
      <c r="D11" s="34">
        <f t="shared" ref="D11:D18" si="1">B11</f>
        <v>0</v>
      </c>
    </row>
    <row r="12" spans="1:5" ht="18" x14ac:dyDescent="0.35">
      <c r="A12" s="4" t="s">
        <v>17</v>
      </c>
      <c r="B12" s="4"/>
      <c r="C12" s="4"/>
      <c r="D12" s="34">
        <f t="shared" si="1"/>
        <v>0</v>
      </c>
    </row>
    <row r="13" spans="1:5" ht="18" x14ac:dyDescent="0.35">
      <c r="A13" s="4" t="s">
        <v>18</v>
      </c>
      <c r="B13" s="4"/>
      <c r="C13" s="4"/>
      <c r="D13" s="34">
        <f t="shared" si="1"/>
        <v>0</v>
      </c>
    </row>
    <row r="14" spans="1:5" ht="18" x14ac:dyDescent="0.35">
      <c r="A14" s="4" t="s">
        <v>19</v>
      </c>
      <c r="B14" s="4"/>
      <c r="C14" s="4"/>
      <c r="D14" s="34">
        <f t="shared" si="1"/>
        <v>0</v>
      </c>
    </row>
    <row r="15" spans="1:5" ht="18" x14ac:dyDescent="0.35">
      <c r="A15" s="4" t="s">
        <v>20</v>
      </c>
      <c r="B15" s="4"/>
      <c r="C15" s="4"/>
      <c r="D15" s="34">
        <f t="shared" si="1"/>
        <v>0</v>
      </c>
    </row>
    <row r="16" spans="1:5" ht="18" x14ac:dyDescent="0.35">
      <c r="A16" s="4" t="s">
        <v>21</v>
      </c>
      <c r="B16" s="4"/>
      <c r="C16" s="4"/>
      <c r="D16" s="34">
        <f t="shared" si="1"/>
        <v>0</v>
      </c>
    </row>
    <row r="17" spans="1:4" ht="18" x14ac:dyDescent="0.35">
      <c r="A17" s="4" t="s">
        <v>22</v>
      </c>
      <c r="B17" s="4"/>
      <c r="C17" s="4"/>
      <c r="D17" s="34">
        <f t="shared" si="1"/>
        <v>0</v>
      </c>
    </row>
    <row r="18" spans="1:4" ht="18" x14ac:dyDescent="0.35">
      <c r="A18" s="4" t="s">
        <v>23</v>
      </c>
      <c r="B18" s="4"/>
      <c r="C18" s="4"/>
      <c r="D18" s="34">
        <f t="shared" si="1"/>
        <v>0</v>
      </c>
    </row>
    <row r="19" spans="1:4" ht="18" x14ac:dyDescent="0.35">
      <c r="A19" s="4" t="s">
        <v>24</v>
      </c>
      <c r="B19" s="4"/>
      <c r="C19" s="4"/>
      <c r="D19" s="34">
        <f t="shared" ref="D19:D28" si="2">B19</f>
        <v>0</v>
      </c>
    </row>
    <row r="20" spans="1:4" ht="18" x14ac:dyDescent="0.35">
      <c r="A20" s="4" t="s">
        <v>25</v>
      </c>
      <c r="B20" s="4"/>
      <c r="C20" s="4"/>
      <c r="D20" s="34">
        <f t="shared" si="2"/>
        <v>0</v>
      </c>
    </row>
    <row r="21" spans="1:4" ht="18" x14ac:dyDescent="0.35">
      <c r="A21" s="4" t="s">
        <v>26</v>
      </c>
      <c r="B21" s="4"/>
      <c r="C21" s="4"/>
      <c r="D21" s="34">
        <f t="shared" si="2"/>
        <v>0</v>
      </c>
    </row>
    <row r="22" spans="1:4" ht="18" x14ac:dyDescent="0.35">
      <c r="A22" s="4" t="s">
        <v>27</v>
      </c>
      <c r="B22" s="4"/>
      <c r="C22" s="4"/>
      <c r="D22" s="34">
        <f t="shared" si="2"/>
        <v>0</v>
      </c>
    </row>
    <row r="23" spans="1:4" ht="18" x14ac:dyDescent="0.35">
      <c r="A23" s="4" t="s">
        <v>28</v>
      </c>
      <c r="B23" s="4"/>
      <c r="C23" s="4"/>
      <c r="D23" s="34">
        <f t="shared" si="2"/>
        <v>0</v>
      </c>
    </row>
    <row r="24" spans="1:4" ht="18" x14ac:dyDescent="0.35">
      <c r="A24" s="4" t="s">
        <v>29</v>
      </c>
      <c r="B24" s="4"/>
      <c r="C24" s="4"/>
      <c r="D24" s="34">
        <f t="shared" si="2"/>
        <v>0</v>
      </c>
    </row>
    <row r="25" spans="1:4" ht="18" x14ac:dyDescent="0.35">
      <c r="A25" s="4" t="s">
        <v>30</v>
      </c>
      <c r="B25" s="4"/>
      <c r="C25" s="4"/>
      <c r="D25" s="34">
        <f t="shared" si="2"/>
        <v>0</v>
      </c>
    </row>
    <row r="26" spans="1:4" ht="18" x14ac:dyDescent="0.35">
      <c r="A26" s="4" t="s">
        <v>31</v>
      </c>
      <c r="B26" s="4"/>
      <c r="C26" s="4"/>
      <c r="D26" s="34">
        <f t="shared" si="2"/>
        <v>0</v>
      </c>
    </row>
    <row r="27" spans="1:4" ht="18" x14ac:dyDescent="0.35">
      <c r="A27" s="4" t="s">
        <v>32</v>
      </c>
      <c r="B27" s="4"/>
      <c r="C27" s="4"/>
      <c r="D27" s="34">
        <f t="shared" si="2"/>
        <v>0</v>
      </c>
    </row>
    <row r="28" spans="1:4" ht="18" x14ac:dyDescent="0.35">
      <c r="A28" s="4" t="s">
        <v>33</v>
      </c>
      <c r="B28" s="4"/>
      <c r="C28" s="4"/>
      <c r="D28" s="34">
        <f t="shared" si="2"/>
        <v>0</v>
      </c>
    </row>
    <row r="29" spans="1:4" ht="18" x14ac:dyDescent="0.35">
      <c r="A29" s="4" t="s">
        <v>33</v>
      </c>
      <c r="B29" s="4"/>
      <c r="C29" s="4"/>
      <c r="D29" s="34">
        <f t="shared" ref="D29:D31" si="3">B29</f>
        <v>0</v>
      </c>
    </row>
    <row r="30" spans="1:4" ht="18" x14ac:dyDescent="0.35">
      <c r="A30" s="4" t="s">
        <v>33</v>
      </c>
      <c r="B30" s="4"/>
      <c r="C30" s="4"/>
      <c r="D30" s="34">
        <f t="shared" si="3"/>
        <v>0</v>
      </c>
    </row>
    <row r="31" spans="1:4" ht="18" x14ac:dyDescent="0.35">
      <c r="A31" s="4" t="s">
        <v>33</v>
      </c>
      <c r="B31" s="4"/>
      <c r="C31" s="4"/>
      <c r="D31" s="34">
        <f t="shared" si="3"/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ster_CREATE_FAC_TTS">
                <anchor moveWithCells="1" sizeWithCells="1">
                  <from>
                    <xdr:col>5</xdr:col>
                    <xdr:colOff>579120</xdr:colOff>
                    <xdr:row>0</xdr:row>
                    <xdr:rowOff>152400</xdr:rowOff>
                  </from>
                  <to>
                    <xdr:col>10</xdr:col>
                    <xdr:colOff>15240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6"/>
  <sheetViews>
    <sheetView workbookViewId="0">
      <selection activeCell="G11" sqref="G11"/>
    </sheetView>
  </sheetViews>
  <sheetFormatPr defaultRowHeight="14.4" x14ac:dyDescent="0.3"/>
  <cols>
    <col min="1" max="1" width="8.88671875" style="16"/>
  </cols>
  <sheetData>
    <row r="1" spans="1:5" ht="18" x14ac:dyDescent="0.35">
      <c r="A1" s="24" t="s">
        <v>45</v>
      </c>
      <c r="B1" s="24" t="s">
        <v>108</v>
      </c>
      <c r="C1" s="24" t="s">
        <v>109</v>
      </c>
      <c r="D1" s="24"/>
      <c r="E1" s="24" t="s">
        <v>83</v>
      </c>
    </row>
    <row r="2" spans="1:5" ht="18" x14ac:dyDescent="0.35">
      <c r="A2" s="23" t="s">
        <v>7</v>
      </c>
      <c r="B2" s="23" t="s">
        <v>96</v>
      </c>
      <c r="C2" s="36" t="str">
        <f>B2</f>
        <v>4CEA</v>
      </c>
      <c r="D2" s="23"/>
      <c r="E2" s="23">
        <v>1</v>
      </c>
    </row>
    <row r="3" spans="1:5" ht="18" x14ac:dyDescent="0.35">
      <c r="A3" s="23" t="s">
        <v>8</v>
      </c>
      <c r="B3" s="23" t="s">
        <v>97</v>
      </c>
      <c r="C3" s="36" t="str">
        <f t="shared" ref="C3:C9" si="0">B3</f>
        <v>4CEB</v>
      </c>
      <c r="D3" s="23"/>
      <c r="E3" s="23">
        <v>1</v>
      </c>
    </row>
    <row r="4" spans="1:5" ht="18" x14ac:dyDescent="0.35">
      <c r="A4" s="23" t="s">
        <v>9</v>
      </c>
      <c r="B4" s="23"/>
      <c r="C4" s="36">
        <f t="shared" si="0"/>
        <v>0</v>
      </c>
      <c r="D4" s="23"/>
      <c r="E4" s="23"/>
    </row>
    <row r="5" spans="1:5" ht="18" x14ac:dyDescent="0.35">
      <c r="A5" s="23" t="s">
        <v>10</v>
      </c>
      <c r="B5" s="23"/>
      <c r="C5" s="36">
        <f t="shared" si="0"/>
        <v>0</v>
      </c>
      <c r="D5" s="23"/>
      <c r="E5" s="23"/>
    </row>
    <row r="6" spans="1:5" ht="18" x14ac:dyDescent="0.35">
      <c r="A6" s="23" t="s">
        <v>11</v>
      </c>
      <c r="B6" s="23"/>
      <c r="C6" s="36">
        <f t="shared" si="0"/>
        <v>0</v>
      </c>
      <c r="D6" s="23"/>
      <c r="E6" s="23"/>
    </row>
    <row r="7" spans="1:5" ht="18" x14ac:dyDescent="0.35">
      <c r="A7" s="23" t="s">
        <v>12</v>
      </c>
      <c r="B7" s="23"/>
      <c r="C7" s="36">
        <f t="shared" si="0"/>
        <v>0</v>
      </c>
      <c r="D7" s="23"/>
      <c r="E7" s="23"/>
    </row>
    <row r="8" spans="1:5" ht="18" x14ac:dyDescent="0.35">
      <c r="A8" s="23" t="s">
        <v>13</v>
      </c>
      <c r="B8" s="23"/>
      <c r="C8" s="36">
        <f t="shared" si="0"/>
        <v>0</v>
      </c>
      <c r="D8" s="23"/>
      <c r="E8" s="23"/>
    </row>
    <row r="9" spans="1:5" ht="18" x14ac:dyDescent="0.35">
      <c r="A9" s="23" t="s">
        <v>14</v>
      </c>
      <c r="B9" s="23"/>
      <c r="C9" s="36">
        <f t="shared" si="0"/>
        <v>0</v>
      </c>
      <c r="D9" s="23"/>
      <c r="E9" s="23"/>
    </row>
    <row r="10" spans="1:5" ht="18" x14ac:dyDescent="0.35">
      <c r="A10" s="23" t="s">
        <v>15</v>
      </c>
      <c r="B10" s="23"/>
      <c r="C10" s="36">
        <f t="shared" ref="C10:C26" si="1">B10</f>
        <v>0</v>
      </c>
      <c r="D10" s="23"/>
      <c r="E10" s="23"/>
    </row>
    <row r="11" spans="1:5" ht="18" x14ac:dyDescent="0.35">
      <c r="A11" s="23" t="s">
        <v>16</v>
      </c>
      <c r="B11" s="23"/>
      <c r="C11" s="36">
        <f t="shared" si="1"/>
        <v>0</v>
      </c>
      <c r="D11" s="23"/>
      <c r="E11" s="23"/>
    </row>
    <row r="12" spans="1:5" ht="18" x14ac:dyDescent="0.35">
      <c r="A12" s="23" t="s">
        <v>17</v>
      </c>
      <c r="B12" s="23"/>
      <c r="C12" s="36">
        <f t="shared" si="1"/>
        <v>0</v>
      </c>
      <c r="D12" s="23"/>
      <c r="E12" s="23"/>
    </row>
    <row r="13" spans="1:5" ht="18" x14ac:dyDescent="0.35">
      <c r="A13" s="23" t="s">
        <v>18</v>
      </c>
      <c r="B13" s="23"/>
      <c r="C13" s="36">
        <f t="shared" si="1"/>
        <v>0</v>
      </c>
      <c r="D13" s="23"/>
      <c r="E13" s="23"/>
    </row>
    <row r="14" spans="1:5" ht="18" x14ac:dyDescent="0.35">
      <c r="A14" s="23" t="s">
        <v>19</v>
      </c>
      <c r="B14" s="23"/>
      <c r="C14" s="36">
        <f t="shared" si="1"/>
        <v>0</v>
      </c>
      <c r="D14" s="23"/>
      <c r="E14" s="23"/>
    </row>
    <row r="15" spans="1:5" ht="18" x14ac:dyDescent="0.35">
      <c r="A15" s="23" t="s">
        <v>20</v>
      </c>
      <c r="B15" s="23"/>
      <c r="C15" s="36">
        <f t="shared" si="1"/>
        <v>0</v>
      </c>
      <c r="D15" s="23"/>
      <c r="E15" s="23"/>
    </row>
    <row r="16" spans="1:5" ht="18" x14ac:dyDescent="0.35">
      <c r="A16" s="23" t="s">
        <v>21</v>
      </c>
      <c r="B16" s="23"/>
      <c r="C16" s="36">
        <f t="shared" si="1"/>
        <v>0</v>
      </c>
      <c r="D16" s="23"/>
      <c r="E16" s="23"/>
    </row>
    <row r="17" spans="1:5" ht="18" x14ac:dyDescent="0.35">
      <c r="A17" s="23" t="s">
        <v>22</v>
      </c>
      <c r="B17" s="23"/>
      <c r="C17" s="36">
        <f t="shared" si="1"/>
        <v>0</v>
      </c>
      <c r="D17" s="23"/>
      <c r="E17" s="23"/>
    </row>
    <row r="18" spans="1:5" ht="18" x14ac:dyDescent="0.35">
      <c r="A18" s="23" t="s">
        <v>23</v>
      </c>
      <c r="B18" s="23"/>
      <c r="C18" s="36">
        <f t="shared" si="1"/>
        <v>0</v>
      </c>
      <c r="D18" s="23"/>
      <c r="E18" s="23"/>
    </row>
    <row r="19" spans="1:5" ht="18" x14ac:dyDescent="0.35">
      <c r="A19" s="23" t="s">
        <v>24</v>
      </c>
      <c r="B19" s="23"/>
      <c r="C19" s="36">
        <f t="shared" si="1"/>
        <v>0</v>
      </c>
      <c r="D19" s="23"/>
      <c r="E19" s="23"/>
    </row>
    <row r="20" spans="1:5" ht="18" x14ac:dyDescent="0.35">
      <c r="A20" s="23" t="s">
        <v>25</v>
      </c>
      <c r="B20" s="23"/>
      <c r="C20" s="36">
        <f t="shared" si="1"/>
        <v>0</v>
      </c>
      <c r="D20" s="23"/>
      <c r="E20" s="23"/>
    </row>
    <row r="21" spans="1:5" ht="18" x14ac:dyDescent="0.35">
      <c r="A21" s="23" t="s">
        <v>26</v>
      </c>
      <c r="B21" s="23"/>
      <c r="C21" s="36">
        <f t="shared" si="1"/>
        <v>0</v>
      </c>
      <c r="D21" s="23"/>
      <c r="E21" s="23"/>
    </row>
    <row r="22" spans="1:5" ht="18" x14ac:dyDescent="0.35">
      <c r="A22" s="23" t="s">
        <v>27</v>
      </c>
      <c r="B22" s="23"/>
      <c r="C22" s="36">
        <f t="shared" si="1"/>
        <v>0</v>
      </c>
      <c r="D22" s="23"/>
      <c r="E22" s="23"/>
    </row>
    <row r="23" spans="1:5" ht="18" x14ac:dyDescent="0.35">
      <c r="A23" s="23" t="s">
        <v>28</v>
      </c>
      <c r="B23" s="23"/>
      <c r="C23" s="36">
        <f t="shared" si="1"/>
        <v>0</v>
      </c>
      <c r="D23" s="23"/>
      <c r="E23" s="23"/>
    </row>
    <row r="24" spans="1:5" ht="18" x14ac:dyDescent="0.35">
      <c r="A24" s="23" t="s">
        <v>29</v>
      </c>
      <c r="B24" s="23"/>
      <c r="C24" s="36">
        <f t="shared" si="1"/>
        <v>0</v>
      </c>
      <c r="D24" s="23"/>
      <c r="E24" s="23"/>
    </row>
    <row r="25" spans="1:5" ht="18" x14ac:dyDescent="0.35">
      <c r="A25" s="26">
        <v>24</v>
      </c>
      <c r="B25" s="23"/>
      <c r="C25" s="36">
        <f t="shared" si="1"/>
        <v>0</v>
      </c>
      <c r="D25" s="23"/>
      <c r="E25" s="23"/>
    </row>
    <row r="26" spans="1:5" ht="18" x14ac:dyDescent="0.35">
      <c r="A26" s="26">
        <v>25</v>
      </c>
      <c r="B26" s="23"/>
      <c r="C26" s="36">
        <f t="shared" si="1"/>
        <v>0</v>
      </c>
      <c r="D26" s="23"/>
      <c r="E26" s="2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ster_CREATE_CLASSTT">
                <anchor moveWithCells="1" sizeWithCells="1">
                  <from>
                    <xdr:col>6</xdr:col>
                    <xdr:colOff>213360</xdr:colOff>
                    <xdr:row>1</xdr:row>
                    <xdr:rowOff>144780</xdr:rowOff>
                  </from>
                  <to>
                    <xdr:col>9</xdr:col>
                    <xdr:colOff>220980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39"/>
  <sheetViews>
    <sheetView workbookViewId="0">
      <selection activeCell="H12" sqref="H12"/>
    </sheetView>
  </sheetViews>
  <sheetFormatPr defaultRowHeight="14.4" x14ac:dyDescent="0.3"/>
  <cols>
    <col min="2" max="2" width="18.33203125" style="16" bestFit="1" customWidth="1"/>
    <col min="3" max="3" width="19.21875" style="16" bestFit="1" customWidth="1"/>
  </cols>
  <sheetData>
    <row r="1" spans="1:5" ht="18" x14ac:dyDescent="0.35">
      <c r="A1" s="24" t="s">
        <v>45</v>
      </c>
      <c r="B1" s="27" t="s">
        <v>110</v>
      </c>
      <c r="C1" s="37" t="s">
        <v>111</v>
      </c>
      <c r="D1" s="24"/>
      <c r="E1" s="24" t="s">
        <v>83</v>
      </c>
    </row>
    <row r="2" spans="1:5" ht="18" x14ac:dyDescent="0.35">
      <c r="A2" s="23">
        <v>1</v>
      </c>
      <c r="B2" s="26">
        <v>8888</v>
      </c>
      <c r="C2" s="37">
        <f>B2</f>
        <v>8888</v>
      </c>
      <c r="D2" s="23"/>
      <c r="E2" s="23">
        <v>1</v>
      </c>
    </row>
    <row r="3" spans="1:5" ht="18" x14ac:dyDescent="0.35">
      <c r="A3" s="23">
        <v>2</v>
      </c>
      <c r="B3" s="26">
        <v>9999</v>
      </c>
      <c r="C3" s="37">
        <f t="shared" ref="C3:C21" si="0">B3</f>
        <v>9999</v>
      </c>
      <c r="D3" s="23"/>
      <c r="E3" s="23">
        <v>1</v>
      </c>
    </row>
    <row r="4" spans="1:5" ht="18" x14ac:dyDescent="0.35">
      <c r="A4" s="23">
        <v>3</v>
      </c>
      <c r="B4" s="26"/>
      <c r="C4" s="37">
        <f t="shared" si="0"/>
        <v>0</v>
      </c>
      <c r="D4" s="23"/>
      <c r="E4" s="23"/>
    </row>
    <row r="5" spans="1:5" ht="18" x14ac:dyDescent="0.35">
      <c r="A5" s="23">
        <v>4</v>
      </c>
      <c r="B5" s="26"/>
      <c r="C5" s="37">
        <f t="shared" si="0"/>
        <v>0</v>
      </c>
      <c r="D5" s="23"/>
      <c r="E5" s="23"/>
    </row>
    <row r="6" spans="1:5" ht="18" x14ac:dyDescent="0.35">
      <c r="A6" s="23">
        <v>5</v>
      </c>
      <c r="B6" s="26"/>
      <c r="C6" s="37">
        <f t="shared" si="0"/>
        <v>0</v>
      </c>
      <c r="D6" s="23"/>
      <c r="E6" s="23"/>
    </row>
    <row r="7" spans="1:5" ht="18" x14ac:dyDescent="0.35">
      <c r="A7" s="23">
        <v>6</v>
      </c>
      <c r="B7" s="26"/>
      <c r="C7" s="37">
        <f t="shared" si="0"/>
        <v>0</v>
      </c>
      <c r="D7" s="23"/>
      <c r="E7" s="23"/>
    </row>
    <row r="8" spans="1:5" ht="18" x14ac:dyDescent="0.35">
      <c r="A8" s="23">
        <v>7</v>
      </c>
      <c r="B8" s="26"/>
      <c r="C8" s="37">
        <f t="shared" si="0"/>
        <v>0</v>
      </c>
      <c r="D8" s="23"/>
      <c r="E8" s="23"/>
    </row>
    <row r="9" spans="1:5" ht="18" x14ac:dyDescent="0.35">
      <c r="A9" s="23">
        <v>8</v>
      </c>
      <c r="B9" s="26"/>
      <c r="C9" s="37">
        <f t="shared" si="0"/>
        <v>0</v>
      </c>
      <c r="D9" s="23"/>
      <c r="E9" s="23"/>
    </row>
    <row r="10" spans="1:5" ht="18" x14ac:dyDescent="0.35">
      <c r="A10" s="23">
        <v>9</v>
      </c>
      <c r="B10" s="26"/>
      <c r="C10" s="37">
        <f t="shared" si="0"/>
        <v>0</v>
      </c>
      <c r="D10" s="23"/>
      <c r="E10" s="23"/>
    </row>
    <row r="11" spans="1:5" ht="18" x14ac:dyDescent="0.35">
      <c r="A11" s="23">
        <v>10</v>
      </c>
      <c r="B11" s="26"/>
      <c r="C11" s="37">
        <f t="shared" si="0"/>
        <v>0</v>
      </c>
      <c r="D11" s="23"/>
      <c r="E11" s="23"/>
    </row>
    <row r="12" spans="1:5" ht="18" x14ac:dyDescent="0.35">
      <c r="A12" s="23">
        <v>11</v>
      </c>
      <c r="B12" s="26"/>
      <c r="C12" s="37">
        <f t="shared" si="0"/>
        <v>0</v>
      </c>
      <c r="D12" s="23"/>
      <c r="E12" s="23"/>
    </row>
    <row r="13" spans="1:5" ht="18" x14ac:dyDescent="0.35">
      <c r="A13" s="23">
        <v>12</v>
      </c>
      <c r="B13" s="26"/>
      <c r="C13" s="37">
        <f t="shared" si="0"/>
        <v>0</v>
      </c>
      <c r="D13" s="23"/>
      <c r="E13" s="23"/>
    </row>
    <row r="14" spans="1:5" ht="18" x14ac:dyDescent="0.35">
      <c r="A14" s="23">
        <v>13</v>
      </c>
      <c r="B14" s="26"/>
      <c r="C14" s="37">
        <f t="shared" si="0"/>
        <v>0</v>
      </c>
      <c r="D14" s="23"/>
      <c r="E14" s="23"/>
    </row>
    <row r="15" spans="1:5" ht="18" x14ac:dyDescent="0.35">
      <c r="A15" s="23">
        <v>14</v>
      </c>
      <c r="B15" s="26"/>
      <c r="C15" s="37">
        <f t="shared" si="0"/>
        <v>0</v>
      </c>
      <c r="D15" s="23"/>
      <c r="E15" s="23"/>
    </row>
    <row r="16" spans="1:5" ht="18" x14ac:dyDescent="0.35">
      <c r="A16" s="23">
        <v>15</v>
      </c>
      <c r="B16" s="26"/>
      <c r="C16" s="37">
        <f t="shared" si="0"/>
        <v>0</v>
      </c>
      <c r="D16" s="23"/>
      <c r="E16" s="23"/>
    </row>
    <row r="17" spans="1:5" ht="18" x14ac:dyDescent="0.35">
      <c r="A17" s="23">
        <v>16</v>
      </c>
      <c r="B17" s="26"/>
      <c r="C17" s="37">
        <f t="shared" si="0"/>
        <v>0</v>
      </c>
      <c r="D17" s="23"/>
      <c r="E17" s="23"/>
    </row>
    <row r="18" spans="1:5" ht="18" x14ac:dyDescent="0.35">
      <c r="A18" s="23">
        <v>17</v>
      </c>
      <c r="B18" s="26"/>
      <c r="C18" s="37">
        <f t="shared" si="0"/>
        <v>0</v>
      </c>
      <c r="D18" s="23"/>
      <c r="E18" s="23"/>
    </row>
    <row r="19" spans="1:5" ht="18" x14ac:dyDescent="0.35">
      <c r="A19" s="23">
        <v>18</v>
      </c>
      <c r="B19" s="26"/>
      <c r="C19" s="37">
        <f t="shared" si="0"/>
        <v>0</v>
      </c>
      <c r="D19" s="23"/>
      <c r="E19" s="23"/>
    </row>
    <row r="20" spans="1:5" ht="18" x14ac:dyDescent="0.35">
      <c r="A20" s="23">
        <v>19</v>
      </c>
      <c r="B20" s="26"/>
      <c r="C20" s="37">
        <f t="shared" si="0"/>
        <v>0</v>
      </c>
      <c r="D20" s="23"/>
      <c r="E20" s="23"/>
    </row>
    <row r="21" spans="1:5" ht="18" x14ac:dyDescent="0.35">
      <c r="A21" s="23">
        <v>20</v>
      </c>
      <c r="B21" s="26"/>
      <c r="C21" s="37">
        <f t="shared" si="0"/>
        <v>0</v>
      </c>
      <c r="D21" s="23"/>
      <c r="E21" s="23"/>
    </row>
    <row r="22" spans="1:5" ht="18" x14ac:dyDescent="0.35">
      <c r="A22" s="23"/>
      <c r="C22" s="38"/>
    </row>
    <row r="26" spans="1:5" x14ac:dyDescent="0.3">
      <c r="A26" t="s">
        <v>31</v>
      </c>
    </row>
    <row r="27" spans="1:5" x14ac:dyDescent="0.3">
      <c r="A27" t="s">
        <v>32</v>
      </c>
    </row>
    <row r="28" spans="1:5" x14ac:dyDescent="0.3">
      <c r="A28" t="s">
        <v>33</v>
      </c>
    </row>
    <row r="29" spans="1:5" x14ac:dyDescent="0.3">
      <c r="A29" t="s">
        <v>34</v>
      </c>
    </row>
    <row r="30" spans="1:5" x14ac:dyDescent="0.3">
      <c r="A30" t="s">
        <v>35</v>
      </c>
    </row>
    <row r="31" spans="1:5" x14ac:dyDescent="0.3">
      <c r="A31" t="s">
        <v>36</v>
      </c>
    </row>
    <row r="32" spans="1:5" x14ac:dyDescent="0.3">
      <c r="A32" t="s">
        <v>37</v>
      </c>
    </row>
    <row r="33" spans="1:1" x14ac:dyDescent="0.3">
      <c r="A33" t="s">
        <v>38</v>
      </c>
    </row>
    <row r="34" spans="1:1" x14ac:dyDescent="0.3">
      <c r="A34" t="s">
        <v>39</v>
      </c>
    </row>
    <row r="35" spans="1:1" x14ac:dyDescent="0.3">
      <c r="A35" t="s">
        <v>40</v>
      </c>
    </row>
    <row r="36" spans="1:1" x14ac:dyDescent="0.3">
      <c r="A36" t="s">
        <v>41</v>
      </c>
    </row>
    <row r="37" spans="1:1" x14ac:dyDescent="0.3">
      <c r="A37" t="s">
        <v>42</v>
      </c>
    </row>
    <row r="38" spans="1:1" x14ac:dyDescent="0.3">
      <c r="A38" t="s">
        <v>43</v>
      </c>
    </row>
    <row r="39" spans="1:1" x14ac:dyDescent="0.3">
      <c r="A39" t="s">
        <v>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Master_CREATE_ROOMTTS">
                <anchor moveWithCells="1" sizeWithCells="1">
                  <from>
                    <xdr:col>6</xdr:col>
                    <xdr:colOff>441960</xdr:colOff>
                    <xdr:row>1</xdr:row>
                    <xdr:rowOff>0</xdr:rowOff>
                  </from>
                  <to>
                    <xdr:col>9</xdr:col>
                    <xdr:colOff>449580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P601"/>
  <sheetViews>
    <sheetView zoomScale="120" zoomScaleNormal="12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G5" sqref="G5"/>
    </sheetView>
  </sheetViews>
  <sheetFormatPr defaultRowHeight="21" x14ac:dyDescent="0.4"/>
  <cols>
    <col min="2" max="2" width="11.21875" customWidth="1"/>
    <col min="3" max="3" width="7.6640625" style="50" bestFit="1" customWidth="1"/>
    <col min="4" max="4" width="8.109375" style="18" bestFit="1" customWidth="1"/>
    <col min="5" max="5" width="12.77734375" style="17" customWidth="1"/>
    <col min="6" max="6" width="10.109375" style="17" customWidth="1"/>
    <col min="7" max="7" width="8" style="17" customWidth="1"/>
    <col min="8" max="8" width="6.6640625" style="17" bestFit="1" customWidth="1"/>
    <col min="9" max="9" width="6.6640625" style="52" customWidth="1"/>
    <col min="10" max="10" width="7.88671875" hidden="1" customWidth="1"/>
    <col min="11" max="12" width="22.88671875" style="52" bestFit="1" customWidth="1"/>
    <col min="13" max="13" width="17.6640625" style="52" bestFit="1" customWidth="1"/>
    <col min="14" max="14" width="3" hidden="1" customWidth="1"/>
    <col min="15" max="15" width="10.77734375" style="52" bestFit="1" customWidth="1"/>
    <col min="16" max="16" width="7.88671875" style="52" bestFit="1" customWidth="1"/>
  </cols>
  <sheetData>
    <row r="1" spans="1:16" s="54" customFormat="1" ht="63" thickBot="1" x14ac:dyDescent="0.35">
      <c r="A1" s="67" t="s">
        <v>47</v>
      </c>
      <c r="B1" s="67" t="s">
        <v>129</v>
      </c>
      <c r="C1" s="68" t="s">
        <v>48</v>
      </c>
      <c r="D1" s="66" t="s">
        <v>49</v>
      </c>
      <c r="E1" s="66" t="s">
        <v>50</v>
      </c>
      <c r="F1" s="66" t="s">
        <v>51</v>
      </c>
      <c r="G1" s="66" t="s">
        <v>52</v>
      </c>
      <c r="H1" s="66" t="s">
        <v>46</v>
      </c>
      <c r="I1" s="69" t="s">
        <v>53</v>
      </c>
      <c r="J1" s="69" t="s">
        <v>53</v>
      </c>
      <c r="K1" s="69" t="s">
        <v>84</v>
      </c>
      <c r="L1" s="69" t="s">
        <v>85</v>
      </c>
      <c r="M1" s="69" t="s">
        <v>86</v>
      </c>
      <c r="N1" s="69" t="s">
        <v>95</v>
      </c>
      <c r="O1" s="69" t="s">
        <v>93</v>
      </c>
      <c r="P1" s="69" t="s">
        <v>94</v>
      </c>
    </row>
    <row r="2" spans="1:16" ht="15" thickTop="1" x14ac:dyDescent="0.3">
      <c r="A2" t="s">
        <v>96</v>
      </c>
      <c r="B2" t="s">
        <v>70</v>
      </c>
      <c r="C2" s="49">
        <f>VLOOKUP(B2,DAY!$C$2:$D$7,2,FALSE)</f>
        <v>0</v>
      </c>
      <c r="D2" s="17">
        <v>1</v>
      </c>
      <c r="E2" s="17" t="s">
        <v>150</v>
      </c>
      <c r="F2" s="17" t="s">
        <v>90</v>
      </c>
      <c r="G2">
        <v>8888</v>
      </c>
      <c r="H2"/>
      <c r="I2" s="52">
        <f t="shared" ref="I2" si="0">IF(H2="",1,2)</f>
        <v>1</v>
      </c>
      <c r="K2" s="52" t="str">
        <f>E2&amp;"-"&amp;A2&amp;" "&amp;H2&amp;" "&amp;G2</f>
        <v>SUB 1-4CEA  8888</v>
      </c>
      <c r="L2" s="52" t="str">
        <f>H2&amp;" "&amp;E2&amp;"-"&amp;F2&amp;"-"&amp;G2</f>
        <v xml:space="preserve"> SUB 1-AAP-8888</v>
      </c>
      <c r="M2" s="52" t="str">
        <f>A2&amp;"-"&amp;H2&amp;" "&amp;E2&amp;"-"&amp;F2</f>
        <v>4CEA- SUB 1-AAP</v>
      </c>
      <c r="N2" s="19"/>
      <c r="O2" s="52" t="str">
        <f>C2&amp;D2&amp;F2</f>
        <v>01AAP</v>
      </c>
      <c r="P2" s="52" t="str">
        <f>C2&amp;D2&amp;G2</f>
        <v>018888</v>
      </c>
    </row>
    <row r="3" spans="1:16" ht="14.4" x14ac:dyDescent="0.3">
      <c r="A3" t="s">
        <v>96</v>
      </c>
      <c r="B3" t="s">
        <v>70</v>
      </c>
      <c r="C3" s="49">
        <f>VLOOKUP(B3,DAY!$C$2:$D$7,2,FALSE)</f>
        <v>0</v>
      </c>
      <c r="D3" s="17">
        <v>2</v>
      </c>
      <c r="E3" s="17" t="s">
        <v>150</v>
      </c>
      <c r="F3" s="17" t="s">
        <v>148</v>
      </c>
      <c r="G3">
        <v>8888</v>
      </c>
      <c r="H3"/>
      <c r="I3" s="52">
        <f t="shared" ref="I3:I65" si="1">IF(H3="",1,2)</f>
        <v>1</v>
      </c>
      <c r="K3" s="52" t="str">
        <f t="shared" ref="K3:K65" si="2">E3&amp;"-"&amp;A3&amp;" "&amp;H3&amp;" "&amp;G3</f>
        <v>SUB 1-4CEA  8888</v>
      </c>
      <c r="L3" s="52" t="str">
        <f t="shared" ref="L3:L65" si="3">H3&amp;" "&amp;E3&amp;"-"&amp;F3&amp;"-"&amp;G3</f>
        <v xml:space="preserve"> SUB 1-GGP-8888</v>
      </c>
      <c r="M3" s="52" t="str">
        <f t="shared" ref="M3:M65" si="4">A3&amp;"-"&amp;H3&amp;" "&amp;E3&amp;"-"&amp;F3</f>
        <v>4CEA- SUB 1-GGP</v>
      </c>
      <c r="N3" s="19"/>
      <c r="O3" s="52" t="str">
        <f t="shared" ref="O3:O66" si="5">C3&amp;D3&amp;F3</f>
        <v>02GGP</v>
      </c>
      <c r="P3" s="52" t="str">
        <f t="shared" ref="P3:P66" si="6">C3&amp;D3&amp;G3</f>
        <v>028888</v>
      </c>
    </row>
    <row r="4" spans="1:16" ht="14.4" x14ac:dyDescent="0.3">
      <c r="A4" t="s">
        <v>97</v>
      </c>
      <c r="B4" t="s">
        <v>71</v>
      </c>
      <c r="C4" s="49">
        <f>VLOOKUP(B4,DAY!$C$2:$D$7,2,FALSE)</f>
        <v>1</v>
      </c>
      <c r="D4" s="17">
        <v>2</v>
      </c>
      <c r="E4" s="17" t="s">
        <v>150</v>
      </c>
      <c r="F4" s="17" t="s">
        <v>149</v>
      </c>
      <c r="G4">
        <v>9999</v>
      </c>
      <c r="H4"/>
      <c r="I4" s="52">
        <f t="shared" si="1"/>
        <v>1</v>
      </c>
      <c r="K4" s="52" t="str">
        <f t="shared" si="2"/>
        <v>SUB 1-4CEB  9999</v>
      </c>
      <c r="L4" s="52" t="str">
        <f t="shared" si="3"/>
        <v xml:space="preserve"> SUB 1-YYD-9999</v>
      </c>
      <c r="M4" s="52" t="str">
        <f t="shared" si="4"/>
        <v>4CEB- SUB 1-YYD</v>
      </c>
      <c r="N4" s="19"/>
      <c r="O4" s="52" t="str">
        <f t="shared" si="5"/>
        <v>12YYD</v>
      </c>
      <c r="P4" s="52" t="str">
        <f t="shared" si="6"/>
        <v>129999</v>
      </c>
    </row>
    <row r="5" spans="1:16" ht="14.4" x14ac:dyDescent="0.3">
      <c r="C5" s="49" t="e">
        <f>VLOOKUP(B5,DAY!$C$2:$D$7,2,FALSE)</f>
        <v>#N/A</v>
      </c>
      <c r="D5" s="17"/>
      <c r="G5"/>
      <c r="H5"/>
      <c r="I5" s="52">
        <f t="shared" si="1"/>
        <v>1</v>
      </c>
      <c r="K5" s="52" t="str">
        <f t="shared" si="2"/>
        <v xml:space="preserve">-  </v>
      </c>
      <c r="L5" s="52" t="str">
        <f t="shared" si="3"/>
        <v xml:space="preserve"> --</v>
      </c>
      <c r="M5" s="52" t="str">
        <f t="shared" si="4"/>
        <v>- -</v>
      </c>
      <c r="N5" s="19"/>
      <c r="O5" s="52" t="e">
        <f t="shared" si="5"/>
        <v>#N/A</v>
      </c>
      <c r="P5" s="52" t="e">
        <f t="shared" si="6"/>
        <v>#N/A</v>
      </c>
    </row>
    <row r="6" spans="1:16" ht="14.4" x14ac:dyDescent="0.3">
      <c r="C6" s="49" t="e">
        <f>VLOOKUP(B6,DAY!$C$2:$D$7,2,FALSE)</f>
        <v>#N/A</v>
      </c>
      <c r="D6" s="17"/>
      <c r="G6"/>
      <c r="H6"/>
      <c r="I6" s="52">
        <f t="shared" si="1"/>
        <v>1</v>
      </c>
      <c r="K6" s="52" t="str">
        <f t="shared" si="2"/>
        <v xml:space="preserve">-  </v>
      </c>
      <c r="L6" s="52" t="str">
        <f t="shared" si="3"/>
        <v xml:space="preserve"> --</v>
      </c>
      <c r="M6" s="52" t="str">
        <f t="shared" si="4"/>
        <v>- -</v>
      </c>
      <c r="N6" s="19"/>
      <c r="O6" s="52" t="e">
        <f t="shared" si="5"/>
        <v>#N/A</v>
      </c>
      <c r="P6" s="52" t="e">
        <f t="shared" si="6"/>
        <v>#N/A</v>
      </c>
    </row>
    <row r="7" spans="1:16" ht="14.4" x14ac:dyDescent="0.3">
      <c r="C7" s="49" t="e">
        <f>VLOOKUP(B7,DAY!$C$2:$D$7,2,FALSE)</f>
        <v>#N/A</v>
      </c>
      <c r="D7" s="17"/>
      <c r="G7"/>
      <c r="H7"/>
      <c r="I7" s="52">
        <f t="shared" si="1"/>
        <v>1</v>
      </c>
      <c r="K7" s="52" t="str">
        <f t="shared" si="2"/>
        <v xml:space="preserve">-  </v>
      </c>
      <c r="L7" s="52" t="str">
        <f t="shared" si="3"/>
        <v xml:space="preserve"> --</v>
      </c>
      <c r="M7" s="52" t="str">
        <f t="shared" si="4"/>
        <v>- -</v>
      </c>
      <c r="N7" s="19"/>
      <c r="O7" s="52" t="e">
        <f t="shared" si="5"/>
        <v>#N/A</v>
      </c>
      <c r="P7" s="52" t="e">
        <f t="shared" si="6"/>
        <v>#N/A</v>
      </c>
    </row>
    <row r="8" spans="1:16" ht="14.4" x14ac:dyDescent="0.3">
      <c r="C8" s="49" t="e">
        <f>VLOOKUP(B8,DAY!$C$2:$D$7,2,FALSE)</f>
        <v>#N/A</v>
      </c>
      <c r="D8" s="17"/>
      <c r="G8"/>
      <c r="H8"/>
      <c r="I8" s="52">
        <f t="shared" si="1"/>
        <v>1</v>
      </c>
      <c r="K8" s="52" t="str">
        <f t="shared" si="2"/>
        <v xml:space="preserve">-  </v>
      </c>
      <c r="L8" s="52" t="str">
        <f t="shared" si="3"/>
        <v xml:space="preserve"> --</v>
      </c>
      <c r="M8" s="52" t="str">
        <f t="shared" si="4"/>
        <v>- -</v>
      </c>
      <c r="N8" s="19"/>
      <c r="O8" s="52" t="e">
        <f t="shared" si="5"/>
        <v>#N/A</v>
      </c>
      <c r="P8" s="52" t="e">
        <f t="shared" si="6"/>
        <v>#N/A</v>
      </c>
    </row>
    <row r="9" spans="1:16" ht="14.4" x14ac:dyDescent="0.3">
      <c r="C9" s="49" t="e">
        <f>VLOOKUP(B9,DAY!$C$2:$D$7,2,FALSE)</f>
        <v>#N/A</v>
      </c>
      <c r="D9" s="17"/>
      <c r="G9" s="19"/>
      <c r="H9"/>
      <c r="I9" s="52">
        <f t="shared" si="1"/>
        <v>1</v>
      </c>
      <c r="K9" s="52" t="str">
        <f t="shared" si="2"/>
        <v xml:space="preserve">-  </v>
      </c>
      <c r="L9" s="52" t="str">
        <f t="shared" si="3"/>
        <v xml:space="preserve"> --</v>
      </c>
      <c r="M9" s="52" t="str">
        <f t="shared" si="4"/>
        <v>- -</v>
      </c>
      <c r="N9" s="19"/>
      <c r="O9" s="52" t="e">
        <f t="shared" si="5"/>
        <v>#N/A</v>
      </c>
      <c r="P9" s="52" t="e">
        <f t="shared" si="6"/>
        <v>#N/A</v>
      </c>
    </row>
    <row r="10" spans="1:16" ht="14.4" x14ac:dyDescent="0.3">
      <c r="C10" s="49" t="e">
        <f>VLOOKUP(B10,DAY!$C$2:$D$7,2,FALSE)</f>
        <v>#N/A</v>
      </c>
      <c r="D10" s="17"/>
      <c r="G10"/>
      <c r="H10"/>
      <c r="I10" s="52">
        <f t="shared" si="1"/>
        <v>1</v>
      </c>
      <c r="K10" s="52" t="str">
        <f t="shared" si="2"/>
        <v xml:space="preserve">-  </v>
      </c>
      <c r="L10" s="52" t="str">
        <f t="shared" si="3"/>
        <v xml:space="preserve"> --</v>
      </c>
      <c r="M10" s="52" t="str">
        <f t="shared" si="4"/>
        <v>- -</v>
      </c>
      <c r="N10" s="19"/>
      <c r="O10" s="52" t="e">
        <f t="shared" si="5"/>
        <v>#N/A</v>
      </c>
      <c r="P10" s="52" t="e">
        <f t="shared" si="6"/>
        <v>#N/A</v>
      </c>
    </row>
    <row r="11" spans="1:16" ht="14.4" x14ac:dyDescent="0.3">
      <c r="C11" s="49" t="e">
        <f>VLOOKUP(B11,DAY!$C$2:$D$7,2,FALSE)</f>
        <v>#N/A</v>
      </c>
      <c r="D11" s="17"/>
      <c r="G11"/>
      <c r="H11"/>
      <c r="I11" s="52">
        <f t="shared" si="1"/>
        <v>1</v>
      </c>
      <c r="K11" s="52" t="str">
        <f t="shared" si="2"/>
        <v xml:space="preserve">-  </v>
      </c>
      <c r="L11" s="52" t="str">
        <f t="shared" si="3"/>
        <v xml:space="preserve"> --</v>
      </c>
      <c r="M11" s="52" t="str">
        <f t="shared" si="4"/>
        <v>- -</v>
      </c>
      <c r="N11" s="19"/>
      <c r="O11" s="52" t="e">
        <f t="shared" si="5"/>
        <v>#N/A</v>
      </c>
      <c r="P11" s="52" t="e">
        <f t="shared" si="6"/>
        <v>#N/A</v>
      </c>
    </row>
    <row r="12" spans="1:16" ht="14.4" x14ac:dyDescent="0.3">
      <c r="C12" s="49" t="e">
        <f>VLOOKUP(B12,DAY!$C$2:$D$7,2,FALSE)</f>
        <v>#N/A</v>
      </c>
      <c r="D12" s="17"/>
      <c r="G12"/>
      <c r="H12"/>
      <c r="I12" s="52">
        <f t="shared" si="1"/>
        <v>1</v>
      </c>
      <c r="K12" s="52" t="str">
        <f t="shared" si="2"/>
        <v xml:space="preserve">-  </v>
      </c>
      <c r="L12" s="52" t="str">
        <f t="shared" si="3"/>
        <v xml:space="preserve"> --</v>
      </c>
      <c r="M12" s="52" t="str">
        <f t="shared" si="4"/>
        <v>- -</v>
      </c>
      <c r="N12" s="19"/>
      <c r="O12" s="52" t="e">
        <f t="shared" si="5"/>
        <v>#N/A</v>
      </c>
      <c r="P12" s="52" t="e">
        <f t="shared" si="6"/>
        <v>#N/A</v>
      </c>
    </row>
    <row r="13" spans="1:16" ht="14.4" x14ac:dyDescent="0.3">
      <c r="C13" s="49" t="e">
        <f>VLOOKUP(B13,DAY!$C$2:$D$7,2,FALSE)</f>
        <v>#N/A</v>
      </c>
      <c r="D13" s="17"/>
      <c r="G13"/>
      <c r="H13"/>
      <c r="I13" s="52">
        <f t="shared" si="1"/>
        <v>1</v>
      </c>
      <c r="K13" s="52" t="str">
        <f t="shared" si="2"/>
        <v xml:space="preserve">-  </v>
      </c>
      <c r="L13" s="52" t="str">
        <f t="shared" si="3"/>
        <v xml:space="preserve"> --</v>
      </c>
      <c r="M13" s="52" t="str">
        <f t="shared" si="4"/>
        <v>- -</v>
      </c>
      <c r="N13" s="19"/>
      <c r="O13" s="52" t="e">
        <f t="shared" si="5"/>
        <v>#N/A</v>
      </c>
      <c r="P13" s="52" t="e">
        <f t="shared" si="6"/>
        <v>#N/A</v>
      </c>
    </row>
    <row r="14" spans="1:16" ht="14.4" x14ac:dyDescent="0.3">
      <c r="C14" s="49" t="e">
        <f>VLOOKUP(B14,DAY!$C$2:$D$7,2,FALSE)</f>
        <v>#N/A</v>
      </c>
      <c r="D14" s="17"/>
      <c r="G14"/>
      <c r="H14"/>
      <c r="I14" s="52">
        <f t="shared" si="1"/>
        <v>1</v>
      </c>
      <c r="K14" s="52" t="str">
        <f t="shared" si="2"/>
        <v xml:space="preserve">-  </v>
      </c>
      <c r="L14" s="52" t="str">
        <f t="shared" si="3"/>
        <v xml:space="preserve"> --</v>
      </c>
      <c r="M14" s="52" t="str">
        <f t="shared" si="4"/>
        <v>- -</v>
      </c>
      <c r="N14" s="19"/>
      <c r="O14" s="52" t="e">
        <f t="shared" si="5"/>
        <v>#N/A</v>
      </c>
      <c r="P14" s="52" t="e">
        <f t="shared" si="6"/>
        <v>#N/A</v>
      </c>
    </row>
    <row r="15" spans="1:16" ht="14.4" x14ac:dyDescent="0.3">
      <c r="C15" s="49" t="e">
        <f>VLOOKUP(B15,DAY!$C$2:$D$7,2,FALSE)</f>
        <v>#N/A</v>
      </c>
      <c r="D15" s="17"/>
      <c r="G15"/>
      <c r="H15"/>
      <c r="I15" s="52">
        <f t="shared" si="1"/>
        <v>1</v>
      </c>
      <c r="K15" s="52" t="str">
        <f t="shared" si="2"/>
        <v xml:space="preserve">-  </v>
      </c>
      <c r="L15" s="52" t="str">
        <f t="shared" si="3"/>
        <v xml:space="preserve"> --</v>
      </c>
      <c r="M15" s="52" t="str">
        <f t="shared" si="4"/>
        <v>- -</v>
      </c>
      <c r="N15" s="19"/>
      <c r="O15" s="52" t="e">
        <f t="shared" si="5"/>
        <v>#N/A</v>
      </c>
      <c r="P15" s="52" t="e">
        <f t="shared" si="6"/>
        <v>#N/A</v>
      </c>
    </row>
    <row r="16" spans="1:16" ht="14.4" x14ac:dyDescent="0.3">
      <c r="C16" s="49" t="e">
        <f>VLOOKUP(B16,DAY!$C$2:$D$7,2,FALSE)</f>
        <v>#N/A</v>
      </c>
      <c r="D16" s="17"/>
      <c r="G16"/>
      <c r="H16"/>
      <c r="I16" s="52">
        <f t="shared" si="1"/>
        <v>1</v>
      </c>
      <c r="K16" s="52" t="str">
        <f t="shared" si="2"/>
        <v xml:space="preserve">-  </v>
      </c>
      <c r="L16" s="52" t="str">
        <f t="shared" si="3"/>
        <v xml:space="preserve"> --</v>
      </c>
      <c r="M16" s="52" t="str">
        <f t="shared" si="4"/>
        <v>- -</v>
      </c>
      <c r="N16" s="19"/>
      <c r="O16" s="52" t="e">
        <f t="shared" si="5"/>
        <v>#N/A</v>
      </c>
      <c r="P16" s="52" t="e">
        <f t="shared" si="6"/>
        <v>#N/A</v>
      </c>
    </row>
    <row r="17" spans="3:16" ht="14.4" x14ac:dyDescent="0.3">
      <c r="C17" s="49" t="e">
        <f>VLOOKUP(B17,DAY!$C$2:$D$7,2,FALSE)</f>
        <v>#N/A</v>
      </c>
      <c r="D17" s="17"/>
      <c r="G17"/>
      <c r="H17"/>
      <c r="I17" s="52">
        <f t="shared" si="1"/>
        <v>1</v>
      </c>
      <c r="K17" s="52" t="str">
        <f t="shared" si="2"/>
        <v xml:space="preserve">-  </v>
      </c>
      <c r="L17" s="52" t="str">
        <f t="shared" si="3"/>
        <v xml:space="preserve"> --</v>
      </c>
      <c r="M17" s="52" t="str">
        <f t="shared" si="4"/>
        <v>- -</v>
      </c>
      <c r="N17" s="19"/>
      <c r="O17" s="52" t="e">
        <f t="shared" si="5"/>
        <v>#N/A</v>
      </c>
      <c r="P17" s="52" t="e">
        <f t="shared" si="6"/>
        <v>#N/A</v>
      </c>
    </row>
    <row r="18" spans="3:16" ht="14.4" x14ac:dyDescent="0.3">
      <c r="C18" s="49" t="e">
        <f>VLOOKUP(B18,DAY!$C$2:$D$7,2,FALSE)</f>
        <v>#N/A</v>
      </c>
      <c r="D18" s="17"/>
      <c r="G18"/>
      <c r="H18"/>
      <c r="I18" s="52">
        <f t="shared" si="1"/>
        <v>1</v>
      </c>
      <c r="K18" s="52" t="str">
        <f t="shared" si="2"/>
        <v xml:space="preserve">-  </v>
      </c>
      <c r="L18" s="52" t="str">
        <f t="shared" si="3"/>
        <v xml:space="preserve"> --</v>
      </c>
      <c r="M18" s="52" t="str">
        <f t="shared" si="4"/>
        <v>- -</v>
      </c>
      <c r="N18" s="19"/>
      <c r="O18" s="52" t="e">
        <f t="shared" si="5"/>
        <v>#N/A</v>
      </c>
      <c r="P18" s="52" t="e">
        <f t="shared" si="6"/>
        <v>#N/A</v>
      </c>
    </row>
    <row r="19" spans="3:16" ht="14.4" x14ac:dyDescent="0.3">
      <c r="C19" s="49" t="e">
        <f>VLOOKUP(B19,DAY!$C$2:$D$7,2,FALSE)</f>
        <v>#N/A</v>
      </c>
      <c r="D19" s="17"/>
      <c r="G19"/>
      <c r="H19"/>
      <c r="I19" s="52">
        <f t="shared" si="1"/>
        <v>1</v>
      </c>
      <c r="K19" s="52" t="str">
        <f t="shared" si="2"/>
        <v xml:space="preserve">-  </v>
      </c>
      <c r="L19" s="52" t="str">
        <f t="shared" si="3"/>
        <v xml:space="preserve"> --</v>
      </c>
      <c r="M19" s="52" t="str">
        <f t="shared" si="4"/>
        <v>- -</v>
      </c>
      <c r="N19" s="19"/>
      <c r="O19" s="52" t="e">
        <f t="shared" si="5"/>
        <v>#N/A</v>
      </c>
      <c r="P19" s="52" t="e">
        <f t="shared" si="6"/>
        <v>#N/A</v>
      </c>
    </row>
    <row r="20" spans="3:16" ht="14.4" x14ac:dyDescent="0.3">
      <c r="C20" s="49" t="e">
        <f>VLOOKUP(B20,DAY!$C$2:$D$7,2,FALSE)</f>
        <v>#N/A</v>
      </c>
      <c r="D20" s="17"/>
      <c r="G20"/>
      <c r="H20"/>
      <c r="I20" s="52">
        <f t="shared" si="1"/>
        <v>1</v>
      </c>
      <c r="K20" s="52" t="str">
        <f t="shared" si="2"/>
        <v xml:space="preserve">-  </v>
      </c>
      <c r="L20" s="52" t="str">
        <f t="shared" si="3"/>
        <v xml:space="preserve"> --</v>
      </c>
      <c r="M20" s="52" t="str">
        <f t="shared" si="4"/>
        <v>- -</v>
      </c>
      <c r="N20" s="19"/>
      <c r="O20" s="52" t="e">
        <f t="shared" si="5"/>
        <v>#N/A</v>
      </c>
      <c r="P20" s="52" t="e">
        <f t="shared" si="6"/>
        <v>#N/A</v>
      </c>
    </row>
    <row r="21" spans="3:16" ht="14.4" x14ac:dyDescent="0.3">
      <c r="C21" s="49" t="e">
        <f>VLOOKUP(B21,DAY!$C$2:$D$7,2,FALSE)</f>
        <v>#N/A</v>
      </c>
      <c r="D21" s="17"/>
      <c r="G21"/>
      <c r="H21"/>
      <c r="I21" s="52">
        <f t="shared" si="1"/>
        <v>1</v>
      </c>
      <c r="K21" s="52" t="str">
        <f t="shared" si="2"/>
        <v xml:space="preserve">-  </v>
      </c>
      <c r="L21" s="52" t="str">
        <f t="shared" si="3"/>
        <v xml:space="preserve"> --</v>
      </c>
      <c r="M21" s="52" t="str">
        <f t="shared" si="4"/>
        <v>- -</v>
      </c>
      <c r="N21" s="19"/>
      <c r="O21" s="52" t="e">
        <f t="shared" si="5"/>
        <v>#N/A</v>
      </c>
      <c r="P21" s="52" t="e">
        <f t="shared" si="6"/>
        <v>#N/A</v>
      </c>
    </row>
    <row r="22" spans="3:16" ht="14.4" x14ac:dyDescent="0.3">
      <c r="C22" s="49" t="e">
        <f>VLOOKUP(B22,DAY!$C$2:$D$7,2,FALSE)</f>
        <v>#N/A</v>
      </c>
      <c r="D22" s="17"/>
      <c r="G22"/>
      <c r="H22"/>
      <c r="I22" s="52">
        <f t="shared" si="1"/>
        <v>1</v>
      </c>
      <c r="K22" s="52" t="str">
        <f t="shared" si="2"/>
        <v xml:space="preserve">-  </v>
      </c>
      <c r="L22" s="52" t="str">
        <f t="shared" si="3"/>
        <v xml:space="preserve"> --</v>
      </c>
      <c r="M22" s="52" t="str">
        <f t="shared" si="4"/>
        <v>- -</v>
      </c>
      <c r="N22" s="19"/>
      <c r="O22" s="52" t="e">
        <f t="shared" si="5"/>
        <v>#N/A</v>
      </c>
      <c r="P22" s="52" t="e">
        <f t="shared" si="6"/>
        <v>#N/A</v>
      </c>
    </row>
    <row r="23" spans="3:16" ht="14.4" x14ac:dyDescent="0.3">
      <c r="C23" s="49" t="e">
        <f>VLOOKUP(B23,DAY!$C$2:$D$7,2,FALSE)</f>
        <v>#N/A</v>
      </c>
      <c r="D23" s="17"/>
      <c r="G23"/>
      <c r="H23"/>
      <c r="I23" s="52">
        <f t="shared" si="1"/>
        <v>1</v>
      </c>
      <c r="K23" s="52" t="str">
        <f t="shared" si="2"/>
        <v xml:space="preserve">-  </v>
      </c>
      <c r="L23" s="52" t="str">
        <f t="shared" si="3"/>
        <v xml:space="preserve"> --</v>
      </c>
      <c r="M23" s="52" t="str">
        <f t="shared" si="4"/>
        <v>- -</v>
      </c>
      <c r="N23" s="19"/>
      <c r="O23" s="52" t="e">
        <f t="shared" si="5"/>
        <v>#N/A</v>
      </c>
      <c r="P23" s="52" t="e">
        <f t="shared" si="6"/>
        <v>#N/A</v>
      </c>
    </row>
    <row r="24" spans="3:16" ht="14.4" x14ac:dyDescent="0.3">
      <c r="C24" s="49" t="e">
        <f>VLOOKUP(B24,DAY!$C$2:$D$7,2,FALSE)</f>
        <v>#N/A</v>
      </c>
      <c r="D24" s="17"/>
      <c r="G24"/>
      <c r="H24"/>
      <c r="I24" s="52">
        <f t="shared" si="1"/>
        <v>1</v>
      </c>
      <c r="K24" s="52" t="str">
        <f t="shared" si="2"/>
        <v xml:space="preserve">-  </v>
      </c>
      <c r="L24" s="52" t="str">
        <f t="shared" si="3"/>
        <v xml:space="preserve"> --</v>
      </c>
      <c r="M24" s="52" t="str">
        <f t="shared" si="4"/>
        <v>- -</v>
      </c>
      <c r="N24" s="19"/>
      <c r="O24" s="52" t="e">
        <f t="shared" si="5"/>
        <v>#N/A</v>
      </c>
      <c r="P24" s="52" t="e">
        <f t="shared" si="6"/>
        <v>#N/A</v>
      </c>
    </row>
    <row r="25" spans="3:16" ht="14.4" x14ac:dyDescent="0.3">
      <c r="C25" s="49" t="e">
        <f>VLOOKUP(B25,DAY!$C$2:$D$7,2,FALSE)</f>
        <v>#N/A</v>
      </c>
      <c r="D25" s="17"/>
      <c r="G25"/>
      <c r="H25"/>
      <c r="I25" s="52">
        <f t="shared" si="1"/>
        <v>1</v>
      </c>
      <c r="K25" s="52" t="str">
        <f t="shared" si="2"/>
        <v xml:space="preserve">-  </v>
      </c>
      <c r="L25" s="52" t="str">
        <f t="shared" si="3"/>
        <v xml:space="preserve"> --</v>
      </c>
      <c r="M25" s="52" t="str">
        <f t="shared" si="4"/>
        <v>- -</v>
      </c>
      <c r="N25" s="19"/>
      <c r="O25" s="52" t="e">
        <f t="shared" si="5"/>
        <v>#N/A</v>
      </c>
      <c r="P25" s="52" t="e">
        <f t="shared" si="6"/>
        <v>#N/A</v>
      </c>
    </row>
    <row r="26" spans="3:16" ht="14.4" x14ac:dyDescent="0.3">
      <c r="C26" s="49" t="e">
        <f>VLOOKUP(B26,DAY!$C$2:$D$7,2,FALSE)</f>
        <v>#N/A</v>
      </c>
      <c r="D26" s="17"/>
      <c r="G26"/>
      <c r="H26"/>
      <c r="I26" s="52">
        <f t="shared" si="1"/>
        <v>1</v>
      </c>
      <c r="K26" s="52" t="str">
        <f t="shared" si="2"/>
        <v xml:space="preserve">-  </v>
      </c>
      <c r="L26" s="52" t="str">
        <f t="shared" si="3"/>
        <v xml:space="preserve"> --</v>
      </c>
      <c r="M26" s="52" t="str">
        <f t="shared" si="4"/>
        <v>- -</v>
      </c>
      <c r="N26" s="19"/>
      <c r="O26" s="52" t="e">
        <f t="shared" si="5"/>
        <v>#N/A</v>
      </c>
      <c r="P26" s="52" t="e">
        <f t="shared" si="6"/>
        <v>#N/A</v>
      </c>
    </row>
    <row r="27" spans="3:16" ht="14.4" x14ac:dyDescent="0.3">
      <c r="C27" s="49" t="e">
        <f>VLOOKUP(B27,DAY!$C$2:$D$7,2,FALSE)</f>
        <v>#N/A</v>
      </c>
      <c r="D27" s="17"/>
      <c r="G27"/>
      <c r="H27"/>
      <c r="I27" s="52">
        <f t="shared" si="1"/>
        <v>1</v>
      </c>
      <c r="K27" s="52" t="str">
        <f t="shared" si="2"/>
        <v xml:space="preserve">-  </v>
      </c>
      <c r="L27" s="52" t="str">
        <f t="shared" si="3"/>
        <v xml:space="preserve"> --</v>
      </c>
      <c r="M27" s="52" t="str">
        <f t="shared" si="4"/>
        <v>- -</v>
      </c>
      <c r="N27" s="19"/>
      <c r="O27" s="52" t="e">
        <f t="shared" si="5"/>
        <v>#N/A</v>
      </c>
      <c r="P27" s="52" t="e">
        <f t="shared" si="6"/>
        <v>#N/A</v>
      </c>
    </row>
    <row r="28" spans="3:16" ht="14.4" x14ac:dyDescent="0.3">
      <c r="C28" s="49" t="e">
        <f>VLOOKUP(B28,DAY!$C$2:$D$7,2,FALSE)</f>
        <v>#N/A</v>
      </c>
      <c r="D28" s="17"/>
      <c r="G28"/>
      <c r="H28"/>
      <c r="I28" s="52">
        <f t="shared" si="1"/>
        <v>1</v>
      </c>
      <c r="K28" s="52" t="str">
        <f t="shared" si="2"/>
        <v xml:space="preserve">-  </v>
      </c>
      <c r="L28" s="52" t="str">
        <f t="shared" si="3"/>
        <v xml:space="preserve"> --</v>
      </c>
      <c r="M28" s="52" t="str">
        <f t="shared" si="4"/>
        <v>- -</v>
      </c>
      <c r="N28" s="19"/>
      <c r="O28" s="52" t="e">
        <f t="shared" si="5"/>
        <v>#N/A</v>
      </c>
      <c r="P28" s="52" t="e">
        <f t="shared" si="6"/>
        <v>#N/A</v>
      </c>
    </row>
    <row r="29" spans="3:16" ht="14.4" x14ac:dyDescent="0.3">
      <c r="C29" s="49" t="e">
        <f>VLOOKUP(B29,DAY!$C$2:$D$7,2,FALSE)</f>
        <v>#N/A</v>
      </c>
      <c r="D29" s="17"/>
      <c r="G29"/>
      <c r="H29"/>
      <c r="I29" s="52">
        <f t="shared" si="1"/>
        <v>1</v>
      </c>
      <c r="K29" s="52" t="str">
        <f t="shared" si="2"/>
        <v xml:space="preserve">-  </v>
      </c>
      <c r="L29" s="52" t="str">
        <f t="shared" si="3"/>
        <v xml:space="preserve"> --</v>
      </c>
      <c r="M29" s="52" t="str">
        <f t="shared" si="4"/>
        <v>- -</v>
      </c>
      <c r="N29" s="19"/>
      <c r="O29" s="52" t="e">
        <f t="shared" si="5"/>
        <v>#N/A</v>
      </c>
      <c r="P29" s="52" t="e">
        <f t="shared" si="6"/>
        <v>#N/A</v>
      </c>
    </row>
    <row r="30" spans="3:16" ht="14.4" x14ac:dyDescent="0.3">
      <c r="C30" s="49" t="e">
        <f>VLOOKUP(B30,DAY!$C$2:$D$7,2,FALSE)</f>
        <v>#N/A</v>
      </c>
      <c r="D30" s="17"/>
      <c r="G30"/>
      <c r="H30"/>
      <c r="I30" s="52">
        <f t="shared" si="1"/>
        <v>1</v>
      </c>
      <c r="K30" s="52" t="str">
        <f t="shared" si="2"/>
        <v xml:space="preserve">-  </v>
      </c>
      <c r="L30" s="52" t="str">
        <f t="shared" si="3"/>
        <v xml:space="preserve"> --</v>
      </c>
      <c r="M30" s="52" t="str">
        <f t="shared" si="4"/>
        <v>- -</v>
      </c>
      <c r="N30" s="19"/>
      <c r="O30" s="52" t="e">
        <f t="shared" si="5"/>
        <v>#N/A</v>
      </c>
      <c r="P30" s="52" t="e">
        <f t="shared" si="6"/>
        <v>#N/A</v>
      </c>
    </row>
    <row r="31" spans="3:16" ht="14.4" x14ac:dyDescent="0.3">
      <c r="C31" s="49" t="e">
        <f>VLOOKUP(B31,DAY!$C$2:$D$7,2,FALSE)</f>
        <v>#N/A</v>
      </c>
      <c r="D31" s="17"/>
      <c r="G31"/>
      <c r="H31"/>
      <c r="I31" s="52">
        <f t="shared" si="1"/>
        <v>1</v>
      </c>
      <c r="K31" s="52" t="str">
        <f t="shared" si="2"/>
        <v xml:space="preserve">-  </v>
      </c>
      <c r="L31" s="52" t="str">
        <f t="shared" si="3"/>
        <v xml:space="preserve"> --</v>
      </c>
      <c r="M31" s="52" t="str">
        <f t="shared" si="4"/>
        <v>- -</v>
      </c>
      <c r="N31" s="19"/>
      <c r="O31" s="52" t="e">
        <f t="shared" si="5"/>
        <v>#N/A</v>
      </c>
      <c r="P31" s="52" t="e">
        <f t="shared" si="6"/>
        <v>#N/A</v>
      </c>
    </row>
    <row r="32" spans="3:16" ht="14.4" x14ac:dyDescent="0.3">
      <c r="C32" s="49" t="e">
        <f>VLOOKUP(B32,DAY!$C$2:$D$7,2,FALSE)</f>
        <v>#N/A</v>
      </c>
      <c r="D32" s="17"/>
      <c r="G32"/>
      <c r="H32"/>
      <c r="I32" s="52">
        <f t="shared" si="1"/>
        <v>1</v>
      </c>
      <c r="K32" s="52" t="str">
        <f t="shared" si="2"/>
        <v xml:space="preserve">-  </v>
      </c>
      <c r="L32" s="52" t="str">
        <f t="shared" si="3"/>
        <v xml:space="preserve"> --</v>
      </c>
      <c r="M32" s="52" t="str">
        <f t="shared" si="4"/>
        <v>- -</v>
      </c>
      <c r="N32" s="19"/>
      <c r="O32" s="52" t="e">
        <f t="shared" si="5"/>
        <v>#N/A</v>
      </c>
      <c r="P32" s="52" t="e">
        <f t="shared" si="6"/>
        <v>#N/A</v>
      </c>
    </row>
    <row r="33" spans="3:16" ht="14.4" x14ac:dyDescent="0.3">
      <c r="C33" s="49" t="e">
        <f>VLOOKUP(B33,DAY!$C$2:$D$7,2,FALSE)</f>
        <v>#N/A</v>
      </c>
      <c r="D33" s="17"/>
      <c r="G33"/>
      <c r="H33"/>
      <c r="I33" s="52">
        <f t="shared" si="1"/>
        <v>1</v>
      </c>
      <c r="K33" s="52" t="str">
        <f t="shared" si="2"/>
        <v xml:space="preserve">-  </v>
      </c>
      <c r="L33" s="52" t="str">
        <f t="shared" si="3"/>
        <v xml:space="preserve"> --</v>
      </c>
      <c r="M33" s="52" t="str">
        <f t="shared" si="4"/>
        <v>- -</v>
      </c>
      <c r="N33" s="19"/>
      <c r="O33" s="52" t="e">
        <f t="shared" si="5"/>
        <v>#N/A</v>
      </c>
      <c r="P33" s="52" t="e">
        <f t="shared" si="6"/>
        <v>#N/A</v>
      </c>
    </row>
    <row r="34" spans="3:16" ht="14.4" x14ac:dyDescent="0.3">
      <c r="C34" s="49" t="e">
        <f>VLOOKUP(B34,DAY!$C$2:$D$7,2,FALSE)</f>
        <v>#N/A</v>
      </c>
      <c r="D34" s="17"/>
      <c r="G34"/>
      <c r="H34"/>
      <c r="I34" s="52">
        <f t="shared" si="1"/>
        <v>1</v>
      </c>
      <c r="K34" s="52" t="str">
        <f t="shared" si="2"/>
        <v xml:space="preserve">-  </v>
      </c>
      <c r="L34" s="52" t="str">
        <f t="shared" si="3"/>
        <v xml:space="preserve"> --</v>
      </c>
      <c r="M34" s="52" t="str">
        <f t="shared" si="4"/>
        <v>- -</v>
      </c>
      <c r="N34" s="19"/>
      <c r="O34" s="52" t="e">
        <f t="shared" si="5"/>
        <v>#N/A</v>
      </c>
      <c r="P34" s="52" t="e">
        <f t="shared" si="6"/>
        <v>#N/A</v>
      </c>
    </row>
    <row r="35" spans="3:16" ht="14.4" x14ac:dyDescent="0.3">
      <c r="C35" s="49" t="e">
        <f>VLOOKUP(B35,DAY!$C$2:$D$7,2,FALSE)</f>
        <v>#N/A</v>
      </c>
      <c r="D35" s="17"/>
      <c r="G35"/>
      <c r="H35"/>
      <c r="I35" s="52">
        <f t="shared" si="1"/>
        <v>1</v>
      </c>
      <c r="K35" s="52" t="str">
        <f t="shared" si="2"/>
        <v xml:space="preserve">-  </v>
      </c>
      <c r="L35" s="52" t="str">
        <f>H35&amp;" "&amp;E35&amp;"-"&amp;F35&amp;"-"&amp;G35</f>
        <v xml:space="preserve"> --</v>
      </c>
      <c r="M35" s="52" t="str">
        <f t="shared" si="4"/>
        <v>- -</v>
      </c>
      <c r="N35" s="19"/>
      <c r="O35" s="52" t="e">
        <f t="shared" si="5"/>
        <v>#N/A</v>
      </c>
      <c r="P35" s="52" t="e">
        <f t="shared" si="6"/>
        <v>#N/A</v>
      </c>
    </row>
    <row r="36" spans="3:16" ht="14.4" x14ac:dyDescent="0.3">
      <c r="C36" s="49" t="e">
        <f>VLOOKUP(B36,DAY!$C$2:$D$7,2,FALSE)</f>
        <v>#N/A</v>
      </c>
      <c r="D36" s="17"/>
      <c r="G36"/>
      <c r="H36"/>
      <c r="I36" s="52">
        <f t="shared" si="1"/>
        <v>1</v>
      </c>
      <c r="K36" s="52" t="str">
        <f t="shared" si="2"/>
        <v xml:space="preserve">-  </v>
      </c>
      <c r="L36" s="52" t="str">
        <f t="shared" si="3"/>
        <v xml:space="preserve"> --</v>
      </c>
      <c r="M36" s="52" t="str">
        <f t="shared" si="4"/>
        <v>- -</v>
      </c>
      <c r="N36" s="19"/>
      <c r="O36" s="52" t="e">
        <f t="shared" si="5"/>
        <v>#N/A</v>
      </c>
      <c r="P36" s="52" t="e">
        <f t="shared" si="6"/>
        <v>#N/A</v>
      </c>
    </row>
    <row r="37" spans="3:16" ht="14.4" x14ac:dyDescent="0.3">
      <c r="C37" s="49" t="e">
        <f>VLOOKUP(B37,DAY!$C$2:$D$7,2,FALSE)</f>
        <v>#N/A</v>
      </c>
      <c r="D37" s="17"/>
      <c r="G37"/>
      <c r="H37"/>
      <c r="I37" s="52">
        <f t="shared" si="1"/>
        <v>1</v>
      </c>
      <c r="K37" s="52" t="str">
        <f t="shared" si="2"/>
        <v xml:space="preserve">-  </v>
      </c>
      <c r="L37" s="52" t="str">
        <f t="shared" si="3"/>
        <v xml:space="preserve"> --</v>
      </c>
      <c r="M37" s="52" t="str">
        <f t="shared" si="4"/>
        <v>- -</v>
      </c>
      <c r="N37" s="19"/>
      <c r="O37" s="52" t="e">
        <f t="shared" si="5"/>
        <v>#N/A</v>
      </c>
      <c r="P37" s="52" t="e">
        <f t="shared" si="6"/>
        <v>#N/A</v>
      </c>
    </row>
    <row r="38" spans="3:16" ht="14.4" x14ac:dyDescent="0.3">
      <c r="C38" s="49" t="e">
        <f>VLOOKUP(B38,DAY!$C$2:$D$7,2,FALSE)</f>
        <v>#N/A</v>
      </c>
      <c r="D38" s="17"/>
      <c r="G38"/>
      <c r="H38"/>
      <c r="I38" s="52">
        <f t="shared" si="1"/>
        <v>1</v>
      </c>
      <c r="K38" s="52" t="str">
        <f t="shared" si="2"/>
        <v xml:space="preserve">-  </v>
      </c>
      <c r="L38" s="52" t="str">
        <f t="shared" si="3"/>
        <v xml:space="preserve"> --</v>
      </c>
      <c r="M38" s="52" t="str">
        <f t="shared" si="4"/>
        <v>- -</v>
      </c>
      <c r="N38" s="19"/>
      <c r="O38" s="52" t="e">
        <f t="shared" si="5"/>
        <v>#N/A</v>
      </c>
      <c r="P38" s="52" t="e">
        <f t="shared" si="6"/>
        <v>#N/A</v>
      </c>
    </row>
    <row r="39" spans="3:16" ht="14.4" x14ac:dyDescent="0.3">
      <c r="C39" s="49" t="e">
        <f>VLOOKUP(B39,DAY!$C$2:$D$7,2,FALSE)</f>
        <v>#N/A</v>
      </c>
      <c r="D39" s="17"/>
      <c r="G39"/>
      <c r="H39"/>
      <c r="I39" s="52">
        <f t="shared" si="1"/>
        <v>1</v>
      </c>
      <c r="K39" s="52" t="str">
        <f t="shared" si="2"/>
        <v xml:space="preserve">-  </v>
      </c>
      <c r="L39" s="52" t="str">
        <f t="shared" si="3"/>
        <v xml:space="preserve"> --</v>
      </c>
      <c r="M39" s="52" t="str">
        <f t="shared" si="4"/>
        <v>- -</v>
      </c>
      <c r="N39" s="19"/>
      <c r="O39" s="52" t="e">
        <f t="shared" si="5"/>
        <v>#N/A</v>
      </c>
      <c r="P39" s="52" t="e">
        <f t="shared" si="6"/>
        <v>#N/A</v>
      </c>
    </row>
    <row r="40" spans="3:16" ht="14.4" x14ac:dyDescent="0.3">
      <c r="C40" s="49" t="e">
        <f>VLOOKUP(B40,DAY!$C$2:$D$7,2,FALSE)</f>
        <v>#N/A</v>
      </c>
      <c r="D40" s="17"/>
      <c r="G40"/>
      <c r="H40"/>
      <c r="I40" s="52">
        <f t="shared" si="1"/>
        <v>1</v>
      </c>
      <c r="K40" s="52" t="str">
        <f t="shared" si="2"/>
        <v xml:space="preserve">-  </v>
      </c>
      <c r="L40" s="52" t="str">
        <f t="shared" si="3"/>
        <v xml:space="preserve"> --</v>
      </c>
      <c r="M40" s="52" t="str">
        <f t="shared" si="4"/>
        <v>- -</v>
      </c>
      <c r="N40" s="19"/>
      <c r="O40" s="52" t="e">
        <f t="shared" si="5"/>
        <v>#N/A</v>
      </c>
      <c r="P40" s="52" t="e">
        <f t="shared" si="6"/>
        <v>#N/A</v>
      </c>
    </row>
    <row r="41" spans="3:16" ht="14.4" x14ac:dyDescent="0.3">
      <c r="C41" s="49" t="e">
        <f>VLOOKUP(B41,DAY!$C$2:$D$7,2,FALSE)</f>
        <v>#N/A</v>
      </c>
      <c r="D41" s="17"/>
      <c r="G41"/>
      <c r="H41"/>
      <c r="I41" s="52">
        <f t="shared" si="1"/>
        <v>1</v>
      </c>
      <c r="K41" s="52" t="str">
        <f t="shared" si="2"/>
        <v xml:space="preserve">-  </v>
      </c>
      <c r="L41" s="52" t="str">
        <f t="shared" si="3"/>
        <v xml:space="preserve"> --</v>
      </c>
      <c r="M41" s="52" t="str">
        <f t="shared" si="4"/>
        <v>- -</v>
      </c>
      <c r="N41" s="19"/>
      <c r="O41" s="52" t="e">
        <f t="shared" si="5"/>
        <v>#N/A</v>
      </c>
      <c r="P41" s="52" t="e">
        <f t="shared" si="6"/>
        <v>#N/A</v>
      </c>
    </row>
    <row r="42" spans="3:16" ht="14.4" x14ac:dyDescent="0.3">
      <c r="C42" s="49" t="e">
        <f>VLOOKUP(B42,DAY!$C$2:$D$7,2,FALSE)</f>
        <v>#N/A</v>
      </c>
      <c r="D42" s="17"/>
      <c r="G42"/>
      <c r="H42"/>
      <c r="I42" s="52">
        <f t="shared" si="1"/>
        <v>1</v>
      </c>
      <c r="K42" s="52" t="str">
        <f t="shared" si="2"/>
        <v xml:space="preserve">-  </v>
      </c>
      <c r="L42" s="52" t="str">
        <f t="shared" si="3"/>
        <v xml:space="preserve"> --</v>
      </c>
      <c r="M42" s="52" t="str">
        <f t="shared" si="4"/>
        <v>- -</v>
      </c>
      <c r="N42" s="19"/>
      <c r="O42" s="52" t="e">
        <f t="shared" si="5"/>
        <v>#N/A</v>
      </c>
      <c r="P42" s="52" t="e">
        <f t="shared" si="6"/>
        <v>#N/A</v>
      </c>
    </row>
    <row r="43" spans="3:16" ht="14.4" x14ac:dyDescent="0.3">
      <c r="C43" s="49" t="e">
        <f>VLOOKUP(B43,DAY!$C$2:$D$7,2,FALSE)</f>
        <v>#N/A</v>
      </c>
      <c r="D43" s="17"/>
      <c r="G43"/>
      <c r="H43"/>
      <c r="I43" s="52">
        <f t="shared" si="1"/>
        <v>1</v>
      </c>
      <c r="K43" s="52" t="str">
        <f t="shared" si="2"/>
        <v xml:space="preserve">-  </v>
      </c>
      <c r="L43" s="52" t="str">
        <f t="shared" si="3"/>
        <v xml:space="preserve"> --</v>
      </c>
      <c r="M43" s="52" t="str">
        <f t="shared" si="4"/>
        <v>- -</v>
      </c>
      <c r="N43" s="19"/>
      <c r="O43" s="52" t="e">
        <f t="shared" si="5"/>
        <v>#N/A</v>
      </c>
      <c r="P43" s="52" t="e">
        <f t="shared" si="6"/>
        <v>#N/A</v>
      </c>
    </row>
    <row r="44" spans="3:16" ht="14.4" x14ac:dyDescent="0.3">
      <c r="C44" s="49" t="e">
        <f>VLOOKUP(B44,DAY!$C$2:$D$7,2,FALSE)</f>
        <v>#N/A</v>
      </c>
      <c r="D44" s="17"/>
      <c r="G44"/>
      <c r="H44"/>
      <c r="I44" s="52">
        <f t="shared" si="1"/>
        <v>1</v>
      </c>
      <c r="K44" s="52" t="str">
        <f t="shared" si="2"/>
        <v xml:space="preserve">-  </v>
      </c>
      <c r="L44" s="52" t="str">
        <f t="shared" si="3"/>
        <v xml:space="preserve"> --</v>
      </c>
      <c r="M44" s="52" t="str">
        <f t="shared" si="4"/>
        <v>- -</v>
      </c>
      <c r="N44" s="19"/>
      <c r="O44" s="52" t="e">
        <f t="shared" si="5"/>
        <v>#N/A</v>
      </c>
      <c r="P44" s="52" t="e">
        <f t="shared" si="6"/>
        <v>#N/A</v>
      </c>
    </row>
    <row r="45" spans="3:16" ht="14.4" x14ac:dyDescent="0.3">
      <c r="C45" s="49" t="e">
        <f>VLOOKUP(B45,DAY!$C$2:$D$7,2,FALSE)</f>
        <v>#N/A</v>
      </c>
      <c r="D45" s="17"/>
      <c r="G45"/>
      <c r="H45"/>
      <c r="I45" s="52">
        <f t="shared" si="1"/>
        <v>1</v>
      </c>
      <c r="K45" s="52" t="str">
        <f t="shared" si="2"/>
        <v xml:space="preserve">-  </v>
      </c>
      <c r="L45" s="52" t="str">
        <f t="shared" si="3"/>
        <v xml:space="preserve"> --</v>
      </c>
      <c r="M45" s="52" t="str">
        <f t="shared" si="4"/>
        <v>- -</v>
      </c>
      <c r="N45" s="19"/>
      <c r="O45" s="52" t="e">
        <f t="shared" si="5"/>
        <v>#N/A</v>
      </c>
      <c r="P45" s="52" t="e">
        <f t="shared" si="6"/>
        <v>#N/A</v>
      </c>
    </row>
    <row r="46" spans="3:16" ht="14.4" x14ac:dyDescent="0.3">
      <c r="C46" s="49" t="e">
        <f>VLOOKUP(B46,DAY!$C$2:$D$7,2,FALSE)</f>
        <v>#N/A</v>
      </c>
      <c r="D46" s="17"/>
      <c r="G46"/>
      <c r="H46"/>
      <c r="I46" s="52">
        <f t="shared" si="1"/>
        <v>1</v>
      </c>
      <c r="K46" s="52" t="str">
        <f t="shared" si="2"/>
        <v xml:space="preserve">-  </v>
      </c>
      <c r="L46" s="52" t="str">
        <f t="shared" si="3"/>
        <v xml:space="preserve"> --</v>
      </c>
      <c r="M46" s="52" t="str">
        <f t="shared" si="4"/>
        <v>- -</v>
      </c>
      <c r="N46" s="19"/>
      <c r="O46" s="52" t="e">
        <f t="shared" si="5"/>
        <v>#N/A</v>
      </c>
      <c r="P46" s="52" t="e">
        <f t="shared" si="6"/>
        <v>#N/A</v>
      </c>
    </row>
    <row r="47" spans="3:16" ht="14.4" x14ac:dyDescent="0.3">
      <c r="C47" s="49" t="e">
        <f>VLOOKUP(B47,DAY!$C$2:$D$7,2,FALSE)</f>
        <v>#N/A</v>
      </c>
      <c r="D47" s="17"/>
      <c r="G47"/>
      <c r="H47"/>
      <c r="I47" s="52">
        <f t="shared" si="1"/>
        <v>1</v>
      </c>
      <c r="K47" s="52" t="str">
        <f t="shared" si="2"/>
        <v xml:space="preserve">-  </v>
      </c>
      <c r="L47" s="52" t="str">
        <f t="shared" si="3"/>
        <v xml:space="preserve"> --</v>
      </c>
      <c r="M47" s="52" t="str">
        <f t="shared" si="4"/>
        <v>- -</v>
      </c>
      <c r="N47" s="19"/>
      <c r="O47" s="52" t="e">
        <f t="shared" si="5"/>
        <v>#N/A</v>
      </c>
      <c r="P47" s="52" t="e">
        <f t="shared" si="6"/>
        <v>#N/A</v>
      </c>
    </row>
    <row r="48" spans="3:16" ht="14.4" x14ac:dyDescent="0.3">
      <c r="C48" s="49" t="e">
        <f>VLOOKUP(B48,DAY!$C$2:$D$7,2,FALSE)</f>
        <v>#N/A</v>
      </c>
      <c r="D48" s="17"/>
      <c r="G48"/>
      <c r="H48"/>
      <c r="I48" s="52">
        <f t="shared" si="1"/>
        <v>1</v>
      </c>
      <c r="K48" s="52" t="str">
        <f t="shared" si="2"/>
        <v xml:space="preserve">-  </v>
      </c>
      <c r="L48" s="52" t="str">
        <f t="shared" si="3"/>
        <v xml:space="preserve"> --</v>
      </c>
      <c r="M48" s="52" t="str">
        <f t="shared" si="4"/>
        <v>- -</v>
      </c>
      <c r="N48" s="19"/>
      <c r="O48" s="52" t="e">
        <f t="shared" si="5"/>
        <v>#N/A</v>
      </c>
      <c r="P48" s="52" t="e">
        <f t="shared" si="6"/>
        <v>#N/A</v>
      </c>
    </row>
    <row r="49" spans="3:16" ht="14.4" x14ac:dyDescent="0.3">
      <c r="C49" s="49" t="e">
        <f>VLOOKUP(B49,DAY!$C$2:$D$7,2,FALSE)</f>
        <v>#N/A</v>
      </c>
      <c r="D49" s="17"/>
      <c r="G49"/>
      <c r="H49"/>
      <c r="I49" s="52">
        <f t="shared" si="1"/>
        <v>1</v>
      </c>
      <c r="K49" s="52" t="str">
        <f t="shared" si="2"/>
        <v xml:space="preserve">-  </v>
      </c>
      <c r="L49" s="52" t="str">
        <f t="shared" si="3"/>
        <v xml:space="preserve"> --</v>
      </c>
      <c r="M49" s="52" t="str">
        <f t="shared" si="4"/>
        <v>- -</v>
      </c>
      <c r="N49" s="19"/>
      <c r="O49" s="52" t="e">
        <f t="shared" si="5"/>
        <v>#N/A</v>
      </c>
      <c r="P49" s="52" t="e">
        <f t="shared" si="6"/>
        <v>#N/A</v>
      </c>
    </row>
    <row r="50" spans="3:16" ht="14.4" x14ac:dyDescent="0.3">
      <c r="C50" s="49" t="e">
        <f>VLOOKUP(B50,DAY!$C$2:$D$7,2,FALSE)</f>
        <v>#N/A</v>
      </c>
      <c r="D50" s="17"/>
      <c r="G50"/>
      <c r="H50"/>
      <c r="I50" s="52">
        <f t="shared" si="1"/>
        <v>1</v>
      </c>
      <c r="K50" s="52" t="str">
        <f t="shared" si="2"/>
        <v xml:space="preserve">-  </v>
      </c>
      <c r="L50" s="52" t="str">
        <f t="shared" si="3"/>
        <v xml:space="preserve"> --</v>
      </c>
      <c r="M50" s="52" t="str">
        <f t="shared" si="4"/>
        <v>- -</v>
      </c>
      <c r="N50" s="19"/>
      <c r="O50" s="52" t="e">
        <f t="shared" si="5"/>
        <v>#N/A</v>
      </c>
      <c r="P50" s="52" t="e">
        <f t="shared" si="6"/>
        <v>#N/A</v>
      </c>
    </row>
    <row r="51" spans="3:16" ht="14.4" x14ac:dyDescent="0.3">
      <c r="C51" s="49" t="e">
        <f>VLOOKUP(B51,DAY!$C$2:$D$7,2,FALSE)</f>
        <v>#N/A</v>
      </c>
      <c r="D51" s="17"/>
      <c r="G51"/>
      <c r="H51"/>
      <c r="I51" s="52">
        <f t="shared" si="1"/>
        <v>1</v>
      </c>
      <c r="K51" s="52" t="str">
        <f t="shared" si="2"/>
        <v xml:space="preserve">-  </v>
      </c>
      <c r="L51" s="52" t="str">
        <f t="shared" si="3"/>
        <v xml:space="preserve"> --</v>
      </c>
      <c r="M51" s="52" t="str">
        <f t="shared" si="4"/>
        <v>- -</v>
      </c>
      <c r="N51" s="19"/>
      <c r="O51" s="52" t="e">
        <f t="shared" si="5"/>
        <v>#N/A</v>
      </c>
      <c r="P51" s="52" t="e">
        <f t="shared" si="6"/>
        <v>#N/A</v>
      </c>
    </row>
    <row r="52" spans="3:16" ht="14.4" x14ac:dyDescent="0.3">
      <c r="C52" s="49" t="e">
        <f>VLOOKUP(B52,DAY!$C$2:$D$7,2,FALSE)</f>
        <v>#N/A</v>
      </c>
      <c r="D52" s="17"/>
      <c r="G52"/>
      <c r="H52"/>
      <c r="I52" s="52">
        <f t="shared" si="1"/>
        <v>1</v>
      </c>
      <c r="K52" s="52" t="str">
        <f t="shared" si="2"/>
        <v xml:space="preserve">-  </v>
      </c>
      <c r="L52" s="52" t="str">
        <f t="shared" si="3"/>
        <v xml:space="preserve"> --</v>
      </c>
      <c r="M52" s="52" t="str">
        <f t="shared" si="4"/>
        <v>- -</v>
      </c>
      <c r="N52" s="19"/>
      <c r="O52" s="52" t="e">
        <f t="shared" si="5"/>
        <v>#N/A</v>
      </c>
      <c r="P52" s="52" t="e">
        <f t="shared" si="6"/>
        <v>#N/A</v>
      </c>
    </row>
    <row r="53" spans="3:16" ht="14.4" x14ac:dyDescent="0.3">
      <c r="C53" s="49" t="e">
        <f>VLOOKUP(B53,DAY!$C$2:$D$7,2,FALSE)</f>
        <v>#N/A</v>
      </c>
      <c r="D53" s="17"/>
      <c r="G53"/>
      <c r="H53"/>
      <c r="I53" s="52">
        <f t="shared" si="1"/>
        <v>1</v>
      </c>
      <c r="K53" s="52" t="str">
        <f t="shared" si="2"/>
        <v xml:space="preserve">-  </v>
      </c>
      <c r="L53" s="52" t="str">
        <f t="shared" si="3"/>
        <v xml:space="preserve"> --</v>
      </c>
      <c r="M53" s="52" t="str">
        <f t="shared" si="4"/>
        <v>- -</v>
      </c>
      <c r="N53" s="19"/>
      <c r="O53" s="52" t="e">
        <f t="shared" si="5"/>
        <v>#N/A</v>
      </c>
      <c r="P53" s="52" t="e">
        <f t="shared" si="6"/>
        <v>#N/A</v>
      </c>
    </row>
    <row r="54" spans="3:16" ht="14.4" x14ac:dyDescent="0.3">
      <c r="C54" s="49" t="e">
        <f>VLOOKUP(B54,DAY!$C$2:$D$7,2,FALSE)</f>
        <v>#N/A</v>
      </c>
      <c r="D54" s="17"/>
      <c r="G54"/>
      <c r="H54"/>
      <c r="I54" s="52">
        <f t="shared" si="1"/>
        <v>1</v>
      </c>
      <c r="K54" s="52" t="str">
        <f t="shared" si="2"/>
        <v xml:space="preserve">-  </v>
      </c>
      <c r="L54" s="52" t="str">
        <f t="shared" si="3"/>
        <v xml:space="preserve"> --</v>
      </c>
      <c r="M54" s="52" t="str">
        <f t="shared" si="4"/>
        <v>- -</v>
      </c>
      <c r="N54" s="19"/>
      <c r="O54" s="52" t="e">
        <f t="shared" si="5"/>
        <v>#N/A</v>
      </c>
      <c r="P54" s="52" t="e">
        <f t="shared" si="6"/>
        <v>#N/A</v>
      </c>
    </row>
    <row r="55" spans="3:16" ht="14.4" x14ac:dyDescent="0.3">
      <c r="C55" s="49" t="e">
        <f>VLOOKUP(B55,DAY!$C$2:$D$7,2,FALSE)</f>
        <v>#N/A</v>
      </c>
      <c r="D55" s="17"/>
      <c r="G55"/>
      <c r="H55"/>
      <c r="I55" s="52">
        <f t="shared" si="1"/>
        <v>1</v>
      </c>
      <c r="K55" s="52" t="str">
        <f t="shared" si="2"/>
        <v xml:space="preserve">-  </v>
      </c>
      <c r="L55" s="52" t="str">
        <f t="shared" si="3"/>
        <v xml:space="preserve"> --</v>
      </c>
      <c r="M55" s="52" t="str">
        <f t="shared" si="4"/>
        <v>- -</v>
      </c>
      <c r="N55" s="19"/>
      <c r="O55" s="52" t="e">
        <f t="shared" si="5"/>
        <v>#N/A</v>
      </c>
      <c r="P55" s="52" t="e">
        <f t="shared" si="6"/>
        <v>#N/A</v>
      </c>
    </row>
    <row r="56" spans="3:16" ht="14.4" x14ac:dyDescent="0.3">
      <c r="C56" s="49" t="e">
        <f>VLOOKUP(B56,DAY!$C$2:$D$7,2,FALSE)</f>
        <v>#N/A</v>
      </c>
      <c r="D56" s="17"/>
      <c r="G56"/>
      <c r="H56"/>
      <c r="I56" s="52">
        <f t="shared" si="1"/>
        <v>1</v>
      </c>
      <c r="K56" s="52" t="str">
        <f t="shared" si="2"/>
        <v xml:space="preserve">-  </v>
      </c>
      <c r="L56" s="52" t="str">
        <f t="shared" si="3"/>
        <v xml:space="preserve"> --</v>
      </c>
      <c r="M56" s="52" t="str">
        <f t="shared" si="4"/>
        <v>- -</v>
      </c>
      <c r="N56" s="19"/>
      <c r="O56" s="52" t="e">
        <f t="shared" si="5"/>
        <v>#N/A</v>
      </c>
      <c r="P56" s="52" t="e">
        <f t="shared" si="6"/>
        <v>#N/A</v>
      </c>
    </row>
    <row r="57" spans="3:16" ht="14.4" x14ac:dyDescent="0.3">
      <c r="C57" s="49" t="e">
        <f>VLOOKUP(B57,DAY!$C$2:$D$7,2,FALSE)</f>
        <v>#N/A</v>
      </c>
      <c r="D57" s="17"/>
      <c r="G57"/>
      <c r="H57"/>
      <c r="I57" s="52">
        <f t="shared" si="1"/>
        <v>1</v>
      </c>
      <c r="K57" s="52" t="str">
        <f t="shared" si="2"/>
        <v xml:space="preserve">-  </v>
      </c>
      <c r="L57" s="52" t="str">
        <f t="shared" si="3"/>
        <v xml:space="preserve"> --</v>
      </c>
      <c r="M57" s="52" t="str">
        <f t="shared" si="4"/>
        <v>- -</v>
      </c>
      <c r="N57" s="19"/>
      <c r="O57" s="52" t="e">
        <f t="shared" si="5"/>
        <v>#N/A</v>
      </c>
      <c r="P57" s="52" t="e">
        <f t="shared" si="6"/>
        <v>#N/A</v>
      </c>
    </row>
    <row r="58" spans="3:16" ht="14.4" x14ac:dyDescent="0.3">
      <c r="C58" s="49" t="e">
        <f>VLOOKUP(B58,DAY!$C$2:$D$7,2,FALSE)</f>
        <v>#N/A</v>
      </c>
      <c r="D58" s="17"/>
      <c r="G58"/>
      <c r="H58"/>
      <c r="I58" s="52">
        <f t="shared" si="1"/>
        <v>1</v>
      </c>
      <c r="K58" s="52" t="str">
        <f t="shared" si="2"/>
        <v xml:space="preserve">-  </v>
      </c>
      <c r="L58" s="52" t="str">
        <f t="shared" si="3"/>
        <v xml:space="preserve"> --</v>
      </c>
      <c r="M58" s="52" t="str">
        <f t="shared" si="4"/>
        <v>- -</v>
      </c>
      <c r="N58" s="19"/>
      <c r="O58" s="52" t="e">
        <f t="shared" si="5"/>
        <v>#N/A</v>
      </c>
      <c r="P58" s="52" t="e">
        <f t="shared" si="6"/>
        <v>#N/A</v>
      </c>
    </row>
    <row r="59" spans="3:16" ht="14.4" x14ac:dyDescent="0.3">
      <c r="C59" s="49" t="e">
        <f>VLOOKUP(B59,DAY!$C$2:$D$7,2,FALSE)</f>
        <v>#N/A</v>
      </c>
      <c r="D59" s="17"/>
      <c r="G59"/>
      <c r="H59"/>
      <c r="I59" s="52">
        <f t="shared" si="1"/>
        <v>1</v>
      </c>
      <c r="K59" s="52" t="str">
        <f t="shared" si="2"/>
        <v xml:space="preserve">-  </v>
      </c>
      <c r="L59" s="52" t="str">
        <f t="shared" si="3"/>
        <v xml:space="preserve"> --</v>
      </c>
      <c r="M59" s="52" t="str">
        <f t="shared" si="4"/>
        <v>- -</v>
      </c>
      <c r="N59" s="19"/>
      <c r="O59" s="52" t="e">
        <f t="shared" si="5"/>
        <v>#N/A</v>
      </c>
      <c r="P59" s="52" t="e">
        <f t="shared" si="6"/>
        <v>#N/A</v>
      </c>
    </row>
    <row r="60" spans="3:16" ht="14.4" x14ac:dyDescent="0.3">
      <c r="C60" s="49" t="e">
        <f>VLOOKUP(B60,DAY!$C$2:$D$7,2,FALSE)</f>
        <v>#N/A</v>
      </c>
      <c r="D60" s="17"/>
      <c r="G60"/>
      <c r="H60"/>
      <c r="I60" s="52">
        <f t="shared" si="1"/>
        <v>1</v>
      </c>
      <c r="K60" s="52" t="str">
        <f t="shared" si="2"/>
        <v xml:space="preserve">-  </v>
      </c>
      <c r="L60" s="52" t="str">
        <f t="shared" si="3"/>
        <v xml:space="preserve"> --</v>
      </c>
      <c r="M60" s="52" t="str">
        <f t="shared" si="4"/>
        <v>- -</v>
      </c>
      <c r="N60" s="19"/>
      <c r="O60" s="52" t="e">
        <f t="shared" si="5"/>
        <v>#N/A</v>
      </c>
      <c r="P60" s="52" t="e">
        <f t="shared" si="6"/>
        <v>#N/A</v>
      </c>
    </row>
    <row r="61" spans="3:16" ht="14.4" x14ac:dyDescent="0.3">
      <c r="C61" s="49" t="e">
        <f>VLOOKUP(B61,DAY!$C$2:$D$7,2,FALSE)</f>
        <v>#N/A</v>
      </c>
      <c r="D61" s="17"/>
      <c r="G61"/>
      <c r="H61"/>
      <c r="I61" s="52">
        <f t="shared" si="1"/>
        <v>1</v>
      </c>
      <c r="K61" s="52" t="str">
        <f t="shared" si="2"/>
        <v xml:space="preserve">-  </v>
      </c>
      <c r="L61" s="52" t="str">
        <f t="shared" si="3"/>
        <v xml:space="preserve"> --</v>
      </c>
      <c r="M61" s="52" t="str">
        <f t="shared" si="4"/>
        <v>- -</v>
      </c>
      <c r="N61" s="19"/>
      <c r="O61" s="52" t="e">
        <f t="shared" si="5"/>
        <v>#N/A</v>
      </c>
      <c r="P61" s="52" t="e">
        <f t="shared" si="6"/>
        <v>#N/A</v>
      </c>
    </row>
    <row r="62" spans="3:16" ht="14.4" x14ac:dyDescent="0.3">
      <c r="C62" s="49" t="e">
        <f>VLOOKUP(B62,DAY!$C$2:$D$7,2,FALSE)</f>
        <v>#N/A</v>
      </c>
      <c r="D62" s="17"/>
      <c r="G62"/>
      <c r="H62"/>
      <c r="I62" s="52">
        <f t="shared" si="1"/>
        <v>1</v>
      </c>
      <c r="K62" s="52" t="str">
        <f t="shared" si="2"/>
        <v xml:space="preserve">-  </v>
      </c>
      <c r="L62" s="52" t="str">
        <f t="shared" si="3"/>
        <v xml:space="preserve"> --</v>
      </c>
      <c r="M62" s="52" t="str">
        <f t="shared" si="4"/>
        <v>- -</v>
      </c>
      <c r="N62" s="19"/>
      <c r="O62" s="52" t="e">
        <f t="shared" si="5"/>
        <v>#N/A</v>
      </c>
      <c r="P62" s="52" t="e">
        <f t="shared" si="6"/>
        <v>#N/A</v>
      </c>
    </row>
    <row r="63" spans="3:16" ht="14.4" x14ac:dyDescent="0.3">
      <c r="C63" s="49" t="e">
        <f>VLOOKUP(B63,DAY!$C$2:$D$7,2,FALSE)</f>
        <v>#N/A</v>
      </c>
      <c r="D63" s="17"/>
      <c r="G63"/>
      <c r="H63"/>
      <c r="I63" s="52">
        <f t="shared" si="1"/>
        <v>1</v>
      </c>
      <c r="K63" s="52" t="str">
        <f t="shared" si="2"/>
        <v xml:space="preserve">-  </v>
      </c>
      <c r="L63" s="52" t="str">
        <f t="shared" si="3"/>
        <v xml:space="preserve"> --</v>
      </c>
      <c r="M63" s="52" t="str">
        <f t="shared" si="4"/>
        <v>- -</v>
      </c>
      <c r="N63" s="19"/>
      <c r="O63" s="52" t="e">
        <f t="shared" si="5"/>
        <v>#N/A</v>
      </c>
      <c r="P63" s="52" t="e">
        <f t="shared" si="6"/>
        <v>#N/A</v>
      </c>
    </row>
    <row r="64" spans="3:16" ht="14.4" x14ac:dyDescent="0.3">
      <c r="C64" s="49" t="e">
        <f>VLOOKUP(B64,DAY!$C$2:$D$7,2,FALSE)</f>
        <v>#N/A</v>
      </c>
      <c r="D64" s="17"/>
      <c r="G64"/>
      <c r="H64"/>
      <c r="I64" s="52">
        <f t="shared" si="1"/>
        <v>1</v>
      </c>
      <c r="K64" s="52" t="str">
        <f t="shared" si="2"/>
        <v xml:space="preserve">-  </v>
      </c>
      <c r="L64" s="52" t="str">
        <f t="shared" si="3"/>
        <v xml:space="preserve"> --</v>
      </c>
      <c r="M64" s="52" t="str">
        <f t="shared" si="4"/>
        <v>- -</v>
      </c>
      <c r="N64" s="19"/>
      <c r="O64" s="52" t="e">
        <f t="shared" si="5"/>
        <v>#N/A</v>
      </c>
      <c r="P64" s="52" t="e">
        <f t="shared" si="6"/>
        <v>#N/A</v>
      </c>
    </row>
    <row r="65" spans="3:16" ht="14.4" x14ac:dyDescent="0.3">
      <c r="C65" s="49" t="e">
        <f>VLOOKUP(B65,DAY!$C$2:$D$7,2,FALSE)</f>
        <v>#N/A</v>
      </c>
      <c r="D65" s="17"/>
      <c r="G65"/>
      <c r="H65"/>
      <c r="I65" s="52">
        <f t="shared" si="1"/>
        <v>1</v>
      </c>
      <c r="K65" s="52" t="str">
        <f t="shared" si="2"/>
        <v xml:space="preserve">-  </v>
      </c>
      <c r="L65" s="52" t="str">
        <f t="shared" si="3"/>
        <v xml:space="preserve"> --</v>
      </c>
      <c r="M65" s="52" t="str">
        <f t="shared" si="4"/>
        <v>- -</v>
      </c>
      <c r="N65" s="19"/>
      <c r="O65" s="52" t="e">
        <f t="shared" si="5"/>
        <v>#N/A</v>
      </c>
      <c r="P65" s="52" t="e">
        <f t="shared" si="6"/>
        <v>#N/A</v>
      </c>
    </row>
    <row r="66" spans="3:16" ht="14.4" x14ac:dyDescent="0.3">
      <c r="C66" s="49" t="e">
        <f>VLOOKUP(B66,DAY!$C$2:$D$7,2,FALSE)</f>
        <v>#N/A</v>
      </c>
      <c r="D66" s="17"/>
      <c r="G66"/>
      <c r="H66"/>
      <c r="I66" s="52">
        <f t="shared" ref="I66:I71" si="7">IF(H66="",1,2)</f>
        <v>1</v>
      </c>
      <c r="K66" s="52" t="str">
        <f t="shared" ref="K66:K71" si="8">E66&amp;"-"&amp;A66&amp;" "&amp;H66&amp;" "&amp;G66</f>
        <v xml:space="preserve">-  </v>
      </c>
      <c r="L66" s="52" t="str">
        <f t="shared" ref="L66:L71" si="9">H66&amp;" "&amp;E66&amp;"-"&amp;F66&amp;"-"&amp;G66</f>
        <v xml:space="preserve"> --</v>
      </c>
      <c r="M66" s="52" t="str">
        <f t="shared" ref="M66:M71" si="10">A66&amp;"-"&amp;H66&amp;" "&amp;E66&amp;"-"&amp;F66</f>
        <v>- -</v>
      </c>
      <c r="N66" s="19"/>
      <c r="O66" s="52" t="e">
        <f t="shared" si="5"/>
        <v>#N/A</v>
      </c>
      <c r="P66" s="52" t="e">
        <f t="shared" si="6"/>
        <v>#N/A</v>
      </c>
    </row>
    <row r="67" spans="3:16" ht="14.4" x14ac:dyDescent="0.3">
      <c r="C67" s="49" t="e">
        <f>VLOOKUP(B67,DAY!$C$2:$D$7,2,FALSE)</f>
        <v>#N/A</v>
      </c>
      <c r="D67" s="17"/>
      <c r="G67"/>
      <c r="H67"/>
      <c r="I67" s="52">
        <f t="shared" si="7"/>
        <v>1</v>
      </c>
      <c r="K67" s="52" t="str">
        <f t="shared" si="8"/>
        <v xml:space="preserve">-  </v>
      </c>
      <c r="L67" s="52" t="str">
        <f t="shared" si="9"/>
        <v xml:space="preserve"> --</v>
      </c>
      <c r="M67" s="52" t="str">
        <f t="shared" si="10"/>
        <v>- -</v>
      </c>
      <c r="N67" s="19"/>
      <c r="O67" s="52" t="e">
        <f t="shared" ref="O67:O130" si="11">C67&amp;D67&amp;F67</f>
        <v>#N/A</v>
      </c>
      <c r="P67" s="52" t="e">
        <f t="shared" ref="P67:P130" si="12">C67&amp;D67&amp;G67</f>
        <v>#N/A</v>
      </c>
    </row>
    <row r="68" spans="3:16" ht="14.4" x14ac:dyDescent="0.3">
      <c r="C68" s="49" t="e">
        <f>VLOOKUP(B68,DAY!$C$2:$D$7,2,FALSE)</f>
        <v>#N/A</v>
      </c>
      <c r="D68" s="17"/>
      <c r="G68"/>
      <c r="H68"/>
      <c r="I68" s="52">
        <f t="shared" si="7"/>
        <v>1</v>
      </c>
      <c r="K68" s="52" t="str">
        <f t="shared" si="8"/>
        <v xml:space="preserve">-  </v>
      </c>
      <c r="L68" s="52" t="str">
        <f t="shared" si="9"/>
        <v xml:space="preserve"> --</v>
      </c>
      <c r="M68" s="52" t="str">
        <f t="shared" si="10"/>
        <v>- -</v>
      </c>
      <c r="N68" s="19"/>
      <c r="O68" s="52" t="e">
        <f t="shared" si="11"/>
        <v>#N/A</v>
      </c>
      <c r="P68" s="52" t="e">
        <f t="shared" si="12"/>
        <v>#N/A</v>
      </c>
    </row>
    <row r="69" spans="3:16" ht="14.4" x14ac:dyDescent="0.3">
      <c r="C69" s="49" t="e">
        <f>VLOOKUP(B69,DAY!$C$2:$D$7,2,FALSE)</f>
        <v>#N/A</v>
      </c>
      <c r="D69" s="17"/>
      <c r="G69"/>
      <c r="H69"/>
      <c r="I69" s="52">
        <f t="shared" si="7"/>
        <v>1</v>
      </c>
      <c r="K69" s="52" t="str">
        <f t="shared" si="8"/>
        <v xml:space="preserve">-  </v>
      </c>
      <c r="L69" s="52" t="str">
        <f t="shared" si="9"/>
        <v xml:space="preserve"> --</v>
      </c>
      <c r="M69" s="52" t="str">
        <f t="shared" si="10"/>
        <v>- -</v>
      </c>
      <c r="N69" s="19"/>
      <c r="O69" s="52" t="e">
        <f t="shared" si="11"/>
        <v>#N/A</v>
      </c>
      <c r="P69" s="52" t="e">
        <f t="shared" si="12"/>
        <v>#N/A</v>
      </c>
    </row>
    <row r="70" spans="3:16" ht="14.4" x14ac:dyDescent="0.3">
      <c r="C70" s="49" t="e">
        <f>VLOOKUP(B70,DAY!$C$2:$D$7,2,FALSE)</f>
        <v>#N/A</v>
      </c>
      <c r="D70" s="17"/>
      <c r="G70"/>
      <c r="H70"/>
      <c r="I70" s="52">
        <f t="shared" si="7"/>
        <v>1</v>
      </c>
      <c r="K70" s="52" t="str">
        <f t="shared" si="8"/>
        <v xml:space="preserve">-  </v>
      </c>
      <c r="L70" s="52" t="str">
        <f t="shared" si="9"/>
        <v xml:space="preserve"> --</v>
      </c>
      <c r="M70" s="52" t="str">
        <f t="shared" si="10"/>
        <v>- -</v>
      </c>
      <c r="N70" s="19"/>
      <c r="O70" s="52" t="e">
        <f t="shared" si="11"/>
        <v>#N/A</v>
      </c>
      <c r="P70" s="52" t="e">
        <f t="shared" si="12"/>
        <v>#N/A</v>
      </c>
    </row>
    <row r="71" spans="3:16" ht="14.4" x14ac:dyDescent="0.3">
      <c r="C71" s="49" t="e">
        <f>VLOOKUP(B71,DAY!$C$2:$D$7,2,FALSE)</f>
        <v>#N/A</v>
      </c>
      <c r="D71" s="17"/>
      <c r="G71"/>
      <c r="H71"/>
      <c r="I71" s="52">
        <f t="shared" si="7"/>
        <v>1</v>
      </c>
      <c r="K71" s="52" t="str">
        <f t="shared" si="8"/>
        <v xml:space="preserve">-  </v>
      </c>
      <c r="L71" s="52" t="str">
        <f t="shared" si="9"/>
        <v xml:space="preserve"> --</v>
      </c>
      <c r="M71" s="52" t="str">
        <f t="shared" si="10"/>
        <v>- -</v>
      </c>
      <c r="N71" s="19"/>
      <c r="O71" s="52" t="e">
        <f t="shared" si="11"/>
        <v>#N/A</v>
      </c>
      <c r="P71" s="52" t="e">
        <f t="shared" si="12"/>
        <v>#N/A</v>
      </c>
    </row>
    <row r="72" spans="3:16" ht="14.4" x14ac:dyDescent="0.3">
      <c r="C72" s="49" t="e">
        <f>VLOOKUP(B72,DAY!$C$2:$D$7,2,FALSE)</f>
        <v>#N/A</v>
      </c>
      <c r="D72" s="17"/>
      <c r="G72"/>
      <c r="H72"/>
      <c r="I72" s="52">
        <f t="shared" ref="I72:I130" si="13">IF(H72="",1,2)</f>
        <v>1</v>
      </c>
      <c r="K72" s="52" t="str">
        <f t="shared" ref="K72:K130" si="14">E72&amp;"-"&amp;A72&amp;" "&amp;H72&amp;" "&amp;G72</f>
        <v xml:space="preserve">-  </v>
      </c>
      <c r="L72" s="52" t="str">
        <f t="shared" ref="L72:L130" si="15">H72&amp;" "&amp;E72&amp;"-"&amp;F72&amp;"-"&amp;G72</f>
        <v xml:space="preserve"> --</v>
      </c>
      <c r="M72" s="52" t="str">
        <f t="shared" ref="M72:M130" si="16">A72&amp;"-"&amp;H72&amp;" "&amp;E72&amp;"-"&amp;F72</f>
        <v>- -</v>
      </c>
      <c r="N72" s="19"/>
      <c r="O72" s="52" t="e">
        <f t="shared" si="11"/>
        <v>#N/A</v>
      </c>
      <c r="P72" s="52" t="e">
        <f t="shared" si="12"/>
        <v>#N/A</v>
      </c>
    </row>
    <row r="73" spans="3:16" ht="14.4" x14ac:dyDescent="0.3">
      <c r="C73" s="49" t="e">
        <f>VLOOKUP(B73,DAY!$C$2:$D$7,2,FALSE)</f>
        <v>#N/A</v>
      </c>
      <c r="D73" s="17"/>
      <c r="G73"/>
      <c r="H73"/>
      <c r="I73" s="52">
        <f t="shared" si="13"/>
        <v>1</v>
      </c>
      <c r="K73" s="52" t="str">
        <f t="shared" si="14"/>
        <v xml:space="preserve">-  </v>
      </c>
      <c r="L73" s="52" t="str">
        <f t="shared" si="15"/>
        <v xml:space="preserve"> --</v>
      </c>
      <c r="M73" s="52" t="str">
        <f t="shared" si="16"/>
        <v>- -</v>
      </c>
      <c r="N73" s="19"/>
      <c r="O73" s="52" t="e">
        <f t="shared" si="11"/>
        <v>#N/A</v>
      </c>
      <c r="P73" s="52" t="e">
        <f t="shared" si="12"/>
        <v>#N/A</v>
      </c>
    </row>
    <row r="74" spans="3:16" ht="14.4" x14ac:dyDescent="0.3">
      <c r="C74" s="49" t="e">
        <f>VLOOKUP(B74,DAY!$C$2:$D$7,2,FALSE)</f>
        <v>#N/A</v>
      </c>
      <c r="D74" s="17"/>
      <c r="G74"/>
      <c r="H74"/>
      <c r="I74" s="52">
        <f t="shared" si="13"/>
        <v>1</v>
      </c>
      <c r="K74" s="52" t="str">
        <f t="shared" si="14"/>
        <v xml:space="preserve">-  </v>
      </c>
      <c r="L74" s="52" t="str">
        <f t="shared" si="15"/>
        <v xml:space="preserve"> --</v>
      </c>
      <c r="M74" s="52" t="str">
        <f t="shared" si="16"/>
        <v>- -</v>
      </c>
      <c r="N74" s="19"/>
      <c r="O74" s="52" t="e">
        <f t="shared" si="11"/>
        <v>#N/A</v>
      </c>
      <c r="P74" s="52" t="e">
        <f t="shared" si="12"/>
        <v>#N/A</v>
      </c>
    </row>
    <row r="75" spans="3:16" ht="14.4" x14ac:dyDescent="0.3">
      <c r="C75" s="49" t="e">
        <f>VLOOKUP(B75,DAY!$C$2:$D$7,2,FALSE)</f>
        <v>#N/A</v>
      </c>
      <c r="D75" s="17"/>
      <c r="G75"/>
      <c r="H75"/>
      <c r="I75" s="52">
        <f t="shared" si="13"/>
        <v>1</v>
      </c>
      <c r="K75" s="52" t="str">
        <f t="shared" si="14"/>
        <v xml:space="preserve">-  </v>
      </c>
      <c r="L75" s="52" t="str">
        <f t="shared" si="15"/>
        <v xml:space="preserve"> --</v>
      </c>
      <c r="M75" s="52" t="str">
        <f t="shared" si="16"/>
        <v>- -</v>
      </c>
      <c r="N75" s="19"/>
      <c r="O75" s="52" t="e">
        <f t="shared" si="11"/>
        <v>#N/A</v>
      </c>
      <c r="P75" s="52" t="e">
        <f t="shared" si="12"/>
        <v>#N/A</v>
      </c>
    </row>
    <row r="76" spans="3:16" ht="14.4" x14ac:dyDescent="0.3">
      <c r="C76" s="49" t="e">
        <f>VLOOKUP(B76,DAY!$C$2:$D$7,2,FALSE)</f>
        <v>#N/A</v>
      </c>
      <c r="D76" s="17"/>
      <c r="G76"/>
      <c r="H76"/>
      <c r="I76" s="52">
        <f t="shared" si="13"/>
        <v>1</v>
      </c>
      <c r="K76" s="52" t="str">
        <f t="shared" si="14"/>
        <v xml:space="preserve">-  </v>
      </c>
      <c r="L76" s="52" t="str">
        <f t="shared" si="15"/>
        <v xml:space="preserve"> --</v>
      </c>
      <c r="M76" s="52" t="str">
        <f t="shared" si="16"/>
        <v>- -</v>
      </c>
      <c r="N76" s="19"/>
      <c r="O76" s="52" t="e">
        <f t="shared" si="11"/>
        <v>#N/A</v>
      </c>
      <c r="P76" s="52" t="e">
        <f t="shared" si="12"/>
        <v>#N/A</v>
      </c>
    </row>
    <row r="77" spans="3:16" ht="14.4" x14ac:dyDescent="0.3">
      <c r="C77" s="49" t="e">
        <f>VLOOKUP(B77,DAY!$C$2:$D$7,2,FALSE)</f>
        <v>#N/A</v>
      </c>
      <c r="D77" s="17"/>
      <c r="G77"/>
      <c r="H77"/>
      <c r="I77" s="52">
        <f t="shared" si="13"/>
        <v>1</v>
      </c>
      <c r="K77" s="52" t="str">
        <f t="shared" si="14"/>
        <v xml:space="preserve">-  </v>
      </c>
      <c r="L77" s="52" t="str">
        <f t="shared" si="15"/>
        <v xml:space="preserve"> --</v>
      </c>
      <c r="M77" s="52" t="str">
        <f t="shared" si="16"/>
        <v>- -</v>
      </c>
      <c r="N77" s="19"/>
      <c r="O77" s="52" t="e">
        <f t="shared" si="11"/>
        <v>#N/A</v>
      </c>
      <c r="P77" s="52" t="e">
        <f t="shared" si="12"/>
        <v>#N/A</v>
      </c>
    </row>
    <row r="78" spans="3:16" ht="14.4" x14ac:dyDescent="0.3">
      <c r="C78" s="49" t="e">
        <f>VLOOKUP(B78,DAY!$C$2:$D$7,2,FALSE)</f>
        <v>#N/A</v>
      </c>
      <c r="D78" s="17"/>
      <c r="G78"/>
      <c r="H78"/>
      <c r="I78" s="52">
        <f t="shared" si="13"/>
        <v>1</v>
      </c>
      <c r="K78" s="52" t="str">
        <f t="shared" si="14"/>
        <v xml:space="preserve">-  </v>
      </c>
      <c r="L78" s="52" t="str">
        <f t="shared" si="15"/>
        <v xml:space="preserve"> --</v>
      </c>
      <c r="M78" s="52" t="str">
        <f t="shared" si="16"/>
        <v>- -</v>
      </c>
      <c r="N78" s="19"/>
      <c r="O78" s="52" t="e">
        <f t="shared" si="11"/>
        <v>#N/A</v>
      </c>
      <c r="P78" s="52" t="e">
        <f t="shared" si="12"/>
        <v>#N/A</v>
      </c>
    </row>
    <row r="79" spans="3:16" ht="14.4" x14ac:dyDescent="0.3">
      <c r="C79" s="49" t="e">
        <f>VLOOKUP(B79,DAY!$C$2:$D$7,2,FALSE)</f>
        <v>#N/A</v>
      </c>
      <c r="D79" s="17"/>
      <c r="G79"/>
      <c r="H79"/>
      <c r="I79" s="52">
        <f t="shared" si="13"/>
        <v>1</v>
      </c>
      <c r="K79" s="52" t="str">
        <f t="shared" si="14"/>
        <v xml:space="preserve">-  </v>
      </c>
      <c r="L79" s="52" t="str">
        <f t="shared" si="15"/>
        <v xml:space="preserve"> --</v>
      </c>
      <c r="M79" s="52" t="str">
        <f t="shared" si="16"/>
        <v>- -</v>
      </c>
      <c r="N79" s="19"/>
      <c r="O79" s="52" t="e">
        <f t="shared" si="11"/>
        <v>#N/A</v>
      </c>
      <c r="P79" s="52" t="e">
        <f t="shared" si="12"/>
        <v>#N/A</v>
      </c>
    </row>
    <row r="80" spans="3:16" ht="14.4" x14ac:dyDescent="0.3">
      <c r="C80" s="49" t="e">
        <f>VLOOKUP(B80,DAY!$C$2:$D$7,2,FALSE)</f>
        <v>#N/A</v>
      </c>
      <c r="D80" s="17"/>
      <c r="G80"/>
      <c r="H80"/>
      <c r="I80" s="52">
        <f t="shared" si="13"/>
        <v>1</v>
      </c>
      <c r="K80" s="52" t="str">
        <f t="shared" si="14"/>
        <v xml:space="preserve">-  </v>
      </c>
      <c r="L80" s="52" t="str">
        <f t="shared" si="15"/>
        <v xml:space="preserve"> --</v>
      </c>
      <c r="M80" s="52" t="str">
        <f t="shared" si="16"/>
        <v>- -</v>
      </c>
      <c r="N80" s="19"/>
      <c r="O80" s="52" t="e">
        <f t="shared" si="11"/>
        <v>#N/A</v>
      </c>
      <c r="P80" s="52" t="e">
        <f t="shared" si="12"/>
        <v>#N/A</v>
      </c>
    </row>
    <row r="81" spans="3:16" ht="14.4" x14ac:dyDescent="0.3">
      <c r="C81" s="49" t="e">
        <f>VLOOKUP(B81,DAY!$C$2:$D$7,2,FALSE)</f>
        <v>#N/A</v>
      </c>
      <c r="D81" s="17"/>
      <c r="G81"/>
      <c r="H81"/>
      <c r="I81" s="52">
        <f t="shared" si="13"/>
        <v>1</v>
      </c>
      <c r="K81" s="52" t="str">
        <f t="shared" si="14"/>
        <v xml:space="preserve">-  </v>
      </c>
      <c r="L81" s="52" t="str">
        <f t="shared" si="15"/>
        <v xml:space="preserve"> --</v>
      </c>
      <c r="M81" s="52" t="str">
        <f t="shared" si="16"/>
        <v>- -</v>
      </c>
      <c r="N81" s="19"/>
      <c r="O81" s="52" t="e">
        <f t="shared" si="11"/>
        <v>#N/A</v>
      </c>
      <c r="P81" s="52" t="e">
        <f t="shared" si="12"/>
        <v>#N/A</v>
      </c>
    </row>
    <row r="82" spans="3:16" ht="14.4" x14ac:dyDescent="0.3">
      <c r="C82" s="49" t="e">
        <f>VLOOKUP(B82,DAY!$C$2:$D$7,2,FALSE)</f>
        <v>#N/A</v>
      </c>
      <c r="D82" s="17"/>
      <c r="G82"/>
      <c r="H82"/>
      <c r="I82" s="52">
        <f t="shared" si="13"/>
        <v>1</v>
      </c>
      <c r="K82" s="52" t="str">
        <f t="shared" si="14"/>
        <v xml:space="preserve">-  </v>
      </c>
      <c r="L82" s="52" t="str">
        <f t="shared" si="15"/>
        <v xml:space="preserve"> --</v>
      </c>
      <c r="M82" s="52" t="str">
        <f t="shared" si="16"/>
        <v>- -</v>
      </c>
      <c r="N82" s="19"/>
      <c r="O82" s="52" t="e">
        <f t="shared" si="11"/>
        <v>#N/A</v>
      </c>
      <c r="P82" s="52" t="e">
        <f t="shared" si="12"/>
        <v>#N/A</v>
      </c>
    </row>
    <row r="83" spans="3:16" ht="14.4" x14ac:dyDescent="0.3">
      <c r="C83" s="49" t="e">
        <f>VLOOKUP(B83,DAY!$C$2:$D$7,2,FALSE)</f>
        <v>#N/A</v>
      </c>
      <c r="D83" s="17"/>
      <c r="G83"/>
      <c r="H83"/>
      <c r="I83" s="52">
        <f t="shared" si="13"/>
        <v>1</v>
      </c>
      <c r="K83" s="52" t="str">
        <f t="shared" si="14"/>
        <v xml:space="preserve">-  </v>
      </c>
      <c r="L83" s="52" t="str">
        <f t="shared" si="15"/>
        <v xml:space="preserve"> --</v>
      </c>
      <c r="M83" s="52" t="str">
        <f t="shared" si="16"/>
        <v>- -</v>
      </c>
      <c r="N83" s="19"/>
      <c r="O83" s="52" t="e">
        <f t="shared" si="11"/>
        <v>#N/A</v>
      </c>
      <c r="P83" s="52" t="e">
        <f t="shared" si="12"/>
        <v>#N/A</v>
      </c>
    </row>
    <row r="84" spans="3:16" ht="14.4" x14ac:dyDescent="0.3">
      <c r="C84" s="49" t="e">
        <f>VLOOKUP(B84,DAY!$C$2:$D$7,2,FALSE)</f>
        <v>#N/A</v>
      </c>
      <c r="D84" s="17"/>
      <c r="G84"/>
      <c r="H84"/>
      <c r="I84" s="52">
        <f t="shared" si="13"/>
        <v>1</v>
      </c>
      <c r="K84" s="52" t="str">
        <f t="shared" si="14"/>
        <v xml:space="preserve">-  </v>
      </c>
      <c r="L84" s="52" t="str">
        <f t="shared" si="15"/>
        <v xml:space="preserve"> --</v>
      </c>
      <c r="M84" s="52" t="str">
        <f t="shared" si="16"/>
        <v>- -</v>
      </c>
      <c r="N84" s="19"/>
      <c r="O84" s="52" t="e">
        <f t="shared" si="11"/>
        <v>#N/A</v>
      </c>
      <c r="P84" s="52" t="e">
        <f t="shared" si="12"/>
        <v>#N/A</v>
      </c>
    </row>
    <row r="85" spans="3:16" ht="14.4" x14ac:dyDescent="0.3">
      <c r="C85" s="49" t="e">
        <f>VLOOKUP(B85,DAY!$C$2:$D$7,2,FALSE)</f>
        <v>#N/A</v>
      </c>
      <c r="D85" s="17"/>
      <c r="G85"/>
      <c r="H85"/>
      <c r="I85" s="52">
        <f t="shared" si="13"/>
        <v>1</v>
      </c>
      <c r="K85" s="52" t="str">
        <f t="shared" si="14"/>
        <v xml:space="preserve">-  </v>
      </c>
      <c r="L85" s="52" t="str">
        <f t="shared" si="15"/>
        <v xml:space="preserve"> --</v>
      </c>
      <c r="M85" s="52" t="str">
        <f t="shared" si="16"/>
        <v>- -</v>
      </c>
      <c r="N85" s="19"/>
      <c r="O85" s="52" t="e">
        <f t="shared" si="11"/>
        <v>#N/A</v>
      </c>
      <c r="P85" s="52" t="e">
        <f t="shared" si="12"/>
        <v>#N/A</v>
      </c>
    </row>
    <row r="86" spans="3:16" ht="14.4" x14ac:dyDescent="0.3">
      <c r="C86" s="49" t="e">
        <f>VLOOKUP(B86,DAY!$C$2:$D$7,2,FALSE)</f>
        <v>#N/A</v>
      </c>
      <c r="D86" s="17"/>
      <c r="G86"/>
      <c r="H86"/>
      <c r="I86" s="52">
        <f t="shared" si="13"/>
        <v>1</v>
      </c>
      <c r="K86" s="52" t="str">
        <f t="shared" si="14"/>
        <v xml:space="preserve">-  </v>
      </c>
      <c r="L86" s="52" t="str">
        <f t="shared" si="15"/>
        <v xml:space="preserve"> --</v>
      </c>
      <c r="M86" s="52" t="str">
        <f t="shared" si="16"/>
        <v>- -</v>
      </c>
      <c r="N86" s="19"/>
      <c r="O86" s="52" t="e">
        <f t="shared" si="11"/>
        <v>#N/A</v>
      </c>
      <c r="P86" s="52" t="e">
        <f t="shared" si="12"/>
        <v>#N/A</v>
      </c>
    </row>
    <row r="87" spans="3:16" ht="14.4" x14ac:dyDescent="0.3">
      <c r="C87" s="49" t="e">
        <f>VLOOKUP(B87,DAY!$C$2:$D$7,2,FALSE)</f>
        <v>#N/A</v>
      </c>
      <c r="D87" s="17"/>
      <c r="G87"/>
      <c r="H87"/>
      <c r="I87" s="52">
        <f t="shared" si="13"/>
        <v>1</v>
      </c>
      <c r="K87" s="52" t="str">
        <f t="shared" si="14"/>
        <v xml:space="preserve">-  </v>
      </c>
      <c r="L87" s="52" t="str">
        <f t="shared" si="15"/>
        <v xml:space="preserve"> --</v>
      </c>
      <c r="M87" s="52" t="str">
        <f t="shared" si="16"/>
        <v>- -</v>
      </c>
      <c r="N87" s="19"/>
      <c r="O87" s="52" t="e">
        <f t="shared" si="11"/>
        <v>#N/A</v>
      </c>
      <c r="P87" s="52" t="e">
        <f t="shared" si="12"/>
        <v>#N/A</v>
      </c>
    </row>
    <row r="88" spans="3:16" ht="14.4" x14ac:dyDescent="0.3">
      <c r="C88" s="49" t="e">
        <f>VLOOKUP(B88,DAY!$C$2:$D$7,2,FALSE)</f>
        <v>#N/A</v>
      </c>
      <c r="D88" s="17"/>
      <c r="G88"/>
      <c r="H88"/>
      <c r="I88" s="52">
        <f t="shared" si="13"/>
        <v>1</v>
      </c>
      <c r="K88" s="52" t="str">
        <f t="shared" si="14"/>
        <v xml:space="preserve">-  </v>
      </c>
      <c r="L88" s="52" t="str">
        <f t="shared" si="15"/>
        <v xml:space="preserve"> --</v>
      </c>
      <c r="M88" s="52" t="str">
        <f t="shared" si="16"/>
        <v>- -</v>
      </c>
      <c r="N88" s="19"/>
      <c r="O88" s="52" t="e">
        <f t="shared" si="11"/>
        <v>#N/A</v>
      </c>
      <c r="P88" s="52" t="e">
        <f t="shared" si="12"/>
        <v>#N/A</v>
      </c>
    </row>
    <row r="89" spans="3:16" ht="14.4" x14ac:dyDescent="0.3">
      <c r="C89" s="49" t="e">
        <f>VLOOKUP(B89,DAY!$C$2:$D$7,2,FALSE)</f>
        <v>#N/A</v>
      </c>
      <c r="D89" s="17"/>
      <c r="G89"/>
      <c r="H89"/>
      <c r="I89" s="52">
        <f t="shared" si="13"/>
        <v>1</v>
      </c>
      <c r="K89" s="52" t="str">
        <f t="shared" si="14"/>
        <v xml:space="preserve">-  </v>
      </c>
      <c r="L89" s="52" t="str">
        <f t="shared" si="15"/>
        <v xml:space="preserve"> --</v>
      </c>
      <c r="M89" s="52" t="str">
        <f t="shared" si="16"/>
        <v>- -</v>
      </c>
      <c r="N89" s="19"/>
      <c r="O89" s="52" t="e">
        <f t="shared" si="11"/>
        <v>#N/A</v>
      </c>
      <c r="P89" s="52" t="e">
        <f t="shared" si="12"/>
        <v>#N/A</v>
      </c>
    </row>
    <row r="90" spans="3:16" ht="14.4" x14ac:dyDescent="0.3">
      <c r="C90" s="49" t="e">
        <f>VLOOKUP(B90,DAY!$C$2:$D$7,2,FALSE)</f>
        <v>#N/A</v>
      </c>
      <c r="D90" s="17"/>
      <c r="G90"/>
      <c r="H90"/>
      <c r="I90" s="52">
        <f t="shared" si="13"/>
        <v>1</v>
      </c>
      <c r="K90" s="52" t="str">
        <f t="shared" si="14"/>
        <v xml:space="preserve">-  </v>
      </c>
      <c r="L90" s="52" t="str">
        <f t="shared" si="15"/>
        <v xml:space="preserve"> --</v>
      </c>
      <c r="M90" s="52" t="str">
        <f t="shared" si="16"/>
        <v>- -</v>
      </c>
      <c r="N90" s="19"/>
      <c r="O90" s="52" t="e">
        <f t="shared" si="11"/>
        <v>#N/A</v>
      </c>
      <c r="P90" s="52" t="e">
        <f t="shared" si="12"/>
        <v>#N/A</v>
      </c>
    </row>
    <row r="91" spans="3:16" ht="14.4" x14ac:dyDescent="0.3">
      <c r="C91" s="49" t="e">
        <f>VLOOKUP(B91,DAY!$C$2:$D$7,2,FALSE)</f>
        <v>#N/A</v>
      </c>
      <c r="D91" s="17"/>
      <c r="G91"/>
      <c r="H91"/>
      <c r="I91" s="52">
        <f t="shared" si="13"/>
        <v>1</v>
      </c>
      <c r="K91" s="52" t="str">
        <f t="shared" si="14"/>
        <v xml:space="preserve">-  </v>
      </c>
      <c r="L91" s="52" t="str">
        <f t="shared" si="15"/>
        <v xml:space="preserve"> --</v>
      </c>
      <c r="M91" s="52" t="str">
        <f t="shared" si="16"/>
        <v>- -</v>
      </c>
      <c r="N91" s="19"/>
      <c r="O91" s="52" t="e">
        <f t="shared" si="11"/>
        <v>#N/A</v>
      </c>
      <c r="P91" s="52" t="e">
        <f t="shared" si="12"/>
        <v>#N/A</v>
      </c>
    </row>
    <row r="92" spans="3:16" ht="14.4" x14ac:dyDescent="0.3">
      <c r="C92" s="49" t="e">
        <f>VLOOKUP(B92,DAY!$C$2:$D$7,2,FALSE)</f>
        <v>#N/A</v>
      </c>
      <c r="D92" s="17"/>
      <c r="G92"/>
      <c r="H92"/>
      <c r="I92" s="52">
        <f t="shared" si="13"/>
        <v>1</v>
      </c>
      <c r="K92" s="52" t="str">
        <f t="shared" si="14"/>
        <v xml:space="preserve">-  </v>
      </c>
      <c r="L92" s="52" t="str">
        <f t="shared" si="15"/>
        <v xml:space="preserve"> --</v>
      </c>
      <c r="M92" s="52" t="str">
        <f t="shared" si="16"/>
        <v>- -</v>
      </c>
      <c r="N92" s="19"/>
      <c r="O92" s="52" t="e">
        <f t="shared" si="11"/>
        <v>#N/A</v>
      </c>
      <c r="P92" s="52" t="e">
        <f t="shared" si="12"/>
        <v>#N/A</v>
      </c>
    </row>
    <row r="93" spans="3:16" ht="14.4" x14ac:dyDescent="0.3">
      <c r="C93" s="49" t="e">
        <f>VLOOKUP(B93,DAY!$C$2:$D$7,2,FALSE)</f>
        <v>#N/A</v>
      </c>
      <c r="D93" s="17"/>
      <c r="G93"/>
      <c r="H93"/>
      <c r="I93" s="52">
        <f t="shared" si="13"/>
        <v>1</v>
      </c>
      <c r="K93" s="52" t="str">
        <f t="shared" si="14"/>
        <v xml:space="preserve">-  </v>
      </c>
      <c r="L93" s="52" t="str">
        <f t="shared" si="15"/>
        <v xml:space="preserve"> --</v>
      </c>
      <c r="M93" s="52" t="str">
        <f t="shared" si="16"/>
        <v>- -</v>
      </c>
      <c r="N93" s="19"/>
      <c r="O93" s="52" t="e">
        <f t="shared" si="11"/>
        <v>#N/A</v>
      </c>
      <c r="P93" s="52" t="e">
        <f t="shared" si="12"/>
        <v>#N/A</v>
      </c>
    </row>
    <row r="94" spans="3:16" ht="14.4" x14ac:dyDescent="0.3">
      <c r="C94" s="49" t="e">
        <f>VLOOKUP(B94,DAY!$C$2:$D$7,2,FALSE)</f>
        <v>#N/A</v>
      </c>
      <c r="D94" s="17"/>
      <c r="G94"/>
      <c r="H94"/>
      <c r="I94" s="52">
        <f t="shared" si="13"/>
        <v>1</v>
      </c>
      <c r="K94" s="52" t="str">
        <f t="shared" si="14"/>
        <v xml:space="preserve">-  </v>
      </c>
      <c r="L94" s="52" t="str">
        <f t="shared" si="15"/>
        <v xml:space="preserve"> --</v>
      </c>
      <c r="M94" s="52" t="str">
        <f t="shared" si="16"/>
        <v>- -</v>
      </c>
      <c r="N94" s="19"/>
      <c r="O94" s="52" t="e">
        <f t="shared" si="11"/>
        <v>#N/A</v>
      </c>
      <c r="P94" s="52" t="e">
        <f t="shared" si="12"/>
        <v>#N/A</v>
      </c>
    </row>
    <row r="95" spans="3:16" ht="14.4" x14ac:dyDescent="0.3">
      <c r="C95" s="49" t="e">
        <f>VLOOKUP(B95,DAY!$C$2:$D$7,2,FALSE)</f>
        <v>#N/A</v>
      </c>
      <c r="D95" s="17"/>
      <c r="G95"/>
      <c r="H95"/>
      <c r="I95" s="52">
        <f t="shared" si="13"/>
        <v>1</v>
      </c>
      <c r="K95" s="52" t="str">
        <f t="shared" si="14"/>
        <v xml:space="preserve">-  </v>
      </c>
      <c r="L95" s="52" t="str">
        <f t="shared" si="15"/>
        <v xml:space="preserve"> --</v>
      </c>
      <c r="M95" s="52" t="str">
        <f t="shared" si="16"/>
        <v>- -</v>
      </c>
      <c r="N95" s="19"/>
      <c r="O95" s="52" t="e">
        <f t="shared" si="11"/>
        <v>#N/A</v>
      </c>
      <c r="P95" s="52" t="e">
        <f t="shared" si="12"/>
        <v>#N/A</v>
      </c>
    </row>
    <row r="96" spans="3:16" ht="14.4" x14ac:dyDescent="0.3">
      <c r="C96" s="49" t="e">
        <f>VLOOKUP(B96,DAY!$C$2:$D$7,2,FALSE)</f>
        <v>#N/A</v>
      </c>
      <c r="D96" s="17"/>
      <c r="G96"/>
      <c r="H96"/>
      <c r="I96" s="52">
        <f t="shared" si="13"/>
        <v>1</v>
      </c>
      <c r="K96" s="52" t="str">
        <f t="shared" si="14"/>
        <v xml:space="preserve">-  </v>
      </c>
      <c r="L96" s="52" t="str">
        <f t="shared" si="15"/>
        <v xml:space="preserve"> --</v>
      </c>
      <c r="M96" s="52" t="str">
        <f t="shared" si="16"/>
        <v>- -</v>
      </c>
      <c r="N96" s="19"/>
      <c r="O96" s="52" t="e">
        <f t="shared" si="11"/>
        <v>#N/A</v>
      </c>
      <c r="P96" s="52" t="e">
        <f t="shared" si="12"/>
        <v>#N/A</v>
      </c>
    </row>
    <row r="97" spans="3:16" ht="14.4" x14ac:dyDescent="0.3">
      <c r="C97" s="49" t="e">
        <f>VLOOKUP(B97,DAY!$C$2:$D$7,2,FALSE)</f>
        <v>#N/A</v>
      </c>
      <c r="D97" s="17"/>
      <c r="G97"/>
      <c r="H97"/>
      <c r="I97" s="52">
        <f t="shared" si="13"/>
        <v>1</v>
      </c>
      <c r="K97" s="52" t="str">
        <f t="shared" si="14"/>
        <v xml:space="preserve">-  </v>
      </c>
      <c r="L97" s="52" t="str">
        <f t="shared" si="15"/>
        <v xml:space="preserve"> --</v>
      </c>
      <c r="M97" s="52" t="str">
        <f t="shared" si="16"/>
        <v>- -</v>
      </c>
      <c r="N97" s="19"/>
      <c r="O97" s="52" t="e">
        <f t="shared" si="11"/>
        <v>#N/A</v>
      </c>
      <c r="P97" s="52" t="e">
        <f t="shared" si="12"/>
        <v>#N/A</v>
      </c>
    </row>
    <row r="98" spans="3:16" ht="14.4" x14ac:dyDescent="0.3">
      <c r="C98" s="49" t="e">
        <f>VLOOKUP(B98,DAY!$C$2:$D$7,2,FALSE)</f>
        <v>#N/A</v>
      </c>
      <c r="D98" s="17"/>
      <c r="G98"/>
      <c r="H98"/>
      <c r="I98" s="52">
        <f t="shared" si="13"/>
        <v>1</v>
      </c>
      <c r="K98" s="52" t="str">
        <f t="shared" si="14"/>
        <v xml:space="preserve">-  </v>
      </c>
      <c r="L98" s="52" t="str">
        <f t="shared" si="15"/>
        <v xml:space="preserve"> --</v>
      </c>
      <c r="M98" s="52" t="str">
        <f t="shared" si="16"/>
        <v>- -</v>
      </c>
      <c r="N98" s="19"/>
      <c r="O98" s="52" t="e">
        <f t="shared" si="11"/>
        <v>#N/A</v>
      </c>
      <c r="P98" s="52" t="e">
        <f t="shared" si="12"/>
        <v>#N/A</v>
      </c>
    </row>
    <row r="99" spans="3:16" ht="14.4" x14ac:dyDescent="0.3">
      <c r="C99" s="49" t="e">
        <f>VLOOKUP(B99,DAY!$C$2:$D$7,2,FALSE)</f>
        <v>#N/A</v>
      </c>
      <c r="D99" s="17"/>
      <c r="G99"/>
      <c r="H99"/>
      <c r="I99" s="52">
        <f t="shared" si="13"/>
        <v>1</v>
      </c>
      <c r="K99" s="52" t="str">
        <f t="shared" si="14"/>
        <v xml:space="preserve">-  </v>
      </c>
      <c r="L99" s="52" t="str">
        <f t="shared" si="15"/>
        <v xml:space="preserve"> --</v>
      </c>
      <c r="M99" s="52" t="str">
        <f t="shared" si="16"/>
        <v>- -</v>
      </c>
      <c r="N99" s="19"/>
      <c r="O99" s="52" t="e">
        <f t="shared" si="11"/>
        <v>#N/A</v>
      </c>
      <c r="P99" s="52" t="e">
        <f t="shared" si="12"/>
        <v>#N/A</v>
      </c>
    </row>
    <row r="100" spans="3:16" ht="14.4" x14ac:dyDescent="0.3">
      <c r="C100" s="49" t="e">
        <f>VLOOKUP(B100,DAY!$C$2:$D$7,2,FALSE)</f>
        <v>#N/A</v>
      </c>
      <c r="D100" s="17"/>
      <c r="G100"/>
      <c r="H100"/>
      <c r="I100" s="52">
        <f t="shared" si="13"/>
        <v>1</v>
      </c>
      <c r="K100" s="52" t="str">
        <f t="shared" si="14"/>
        <v xml:space="preserve">-  </v>
      </c>
      <c r="L100" s="52" t="str">
        <f t="shared" si="15"/>
        <v xml:space="preserve"> --</v>
      </c>
      <c r="M100" s="52" t="str">
        <f t="shared" si="16"/>
        <v>- -</v>
      </c>
      <c r="N100" s="19"/>
      <c r="O100" s="52" t="e">
        <f t="shared" si="11"/>
        <v>#N/A</v>
      </c>
      <c r="P100" s="52" t="e">
        <f t="shared" si="12"/>
        <v>#N/A</v>
      </c>
    </row>
    <row r="101" spans="3:16" ht="14.4" x14ac:dyDescent="0.3">
      <c r="C101" s="49" t="e">
        <f>VLOOKUP(B101,DAY!$C$2:$D$7,2,FALSE)</f>
        <v>#N/A</v>
      </c>
      <c r="D101" s="17"/>
      <c r="G101"/>
      <c r="H101"/>
      <c r="I101" s="52">
        <f t="shared" si="13"/>
        <v>1</v>
      </c>
      <c r="K101" s="52" t="str">
        <f t="shared" si="14"/>
        <v xml:space="preserve">-  </v>
      </c>
      <c r="L101" s="52" t="str">
        <f t="shared" si="15"/>
        <v xml:space="preserve"> --</v>
      </c>
      <c r="M101" s="52" t="str">
        <f t="shared" si="16"/>
        <v>- -</v>
      </c>
      <c r="N101" s="19"/>
      <c r="O101" s="52" t="e">
        <f t="shared" si="11"/>
        <v>#N/A</v>
      </c>
      <c r="P101" s="52" t="e">
        <f t="shared" si="12"/>
        <v>#N/A</v>
      </c>
    </row>
    <row r="102" spans="3:16" ht="14.4" x14ac:dyDescent="0.3">
      <c r="C102" s="49" t="e">
        <f>VLOOKUP(B102,DAY!$C$2:$D$7,2,FALSE)</f>
        <v>#N/A</v>
      </c>
      <c r="D102" s="17"/>
      <c r="G102"/>
      <c r="H102"/>
      <c r="I102" s="52">
        <f t="shared" si="13"/>
        <v>1</v>
      </c>
      <c r="K102" s="52" t="str">
        <f t="shared" si="14"/>
        <v xml:space="preserve">-  </v>
      </c>
      <c r="L102" s="52" t="str">
        <f t="shared" si="15"/>
        <v xml:space="preserve"> --</v>
      </c>
      <c r="M102" s="52" t="str">
        <f t="shared" si="16"/>
        <v>- -</v>
      </c>
      <c r="N102" s="19"/>
      <c r="O102" s="52" t="e">
        <f t="shared" si="11"/>
        <v>#N/A</v>
      </c>
      <c r="P102" s="52" t="e">
        <f t="shared" si="12"/>
        <v>#N/A</v>
      </c>
    </row>
    <row r="103" spans="3:16" ht="14.4" x14ac:dyDescent="0.3">
      <c r="C103" s="49" t="e">
        <f>VLOOKUP(B103,DAY!$C$2:$D$7,2,FALSE)</f>
        <v>#N/A</v>
      </c>
      <c r="D103" s="17"/>
      <c r="G103"/>
      <c r="H103"/>
      <c r="I103" s="52">
        <f t="shared" si="13"/>
        <v>1</v>
      </c>
      <c r="K103" s="52" t="str">
        <f t="shared" si="14"/>
        <v xml:space="preserve">-  </v>
      </c>
      <c r="L103" s="52" t="str">
        <f t="shared" si="15"/>
        <v xml:space="preserve"> --</v>
      </c>
      <c r="M103" s="52" t="str">
        <f t="shared" si="16"/>
        <v>- -</v>
      </c>
      <c r="N103" s="19"/>
      <c r="O103" s="52" t="e">
        <f t="shared" si="11"/>
        <v>#N/A</v>
      </c>
      <c r="P103" s="52" t="e">
        <f t="shared" si="12"/>
        <v>#N/A</v>
      </c>
    </row>
    <row r="104" spans="3:16" ht="14.4" x14ac:dyDescent="0.3">
      <c r="C104" s="49" t="e">
        <f>VLOOKUP(B104,DAY!$C$2:$D$7,2,FALSE)</f>
        <v>#N/A</v>
      </c>
      <c r="D104" s="17"/>
      <c r="G104"/>
      <c r="H104"/>
      <c r="I104" s="52">
        <f t="shared" si="13"/>
        <v>1</v>
      </c>
      <c r="K104" s="52" t="str">
        <f t="shared" si="14"/>
        <v xml:space="preserve">-  </v>
      </c>
      <c r="L104" s="52" t="str">
        <f t="shared" si="15"/>
        <v xml:space="preserve"> --</v>
      </c>
      <c r="M104" s="52" t="str">
        <f t="shared" si="16"/>
        <v>- -</v>
      </c>
      <c r="N104" s="19"/>
      <c r="O104" s="52" t="e">
        <f t="shared" si="11"/>
        <v>#N/A</v>
      </c>
      <c r="P104" s="52" t="e">
        <f t="shared" si="12"/>
        <v>#N/A</v>
      </c>
    </row>
    <row r="105" spans="3:16" ht="14.4" x14ac:dyDescent="0.3">
      <c r="C105" s="49" t="e">
        <f>VLOOKUP(B105,DAY!$C$2:$D$7,2,FALSE)</f>
        <v>#N/A</v>
      </c>
      <c r="D105" s="17"/>
      <c r="G105"/>
      <c r="H105"/>
      <c r="I105" s="52">
        <f t="shared" si="13"/>
        <v>1</v>
      </c>
      <c r="K105" s="52" t="str">
        <f t="shared" si="14"/>
        <v xml:space="preserve">-  </v>
      </c>
      <c r="L105" s="52" t="str">
        <f t="shared" si="15"/>
        <v xml:space="preserve"> --</v>
      </c>
      <c r="M105" s="52" t="str">
        <f t="shared" si="16"/>
        <v>- -</v>
      </c>
      <c r="N105" s="19"/>
      <c r="O105" s="52" t="e">
        <f t="shared" si="11"/>
        <v>#N/A</v>
      </c>
      <c r="P105" s="52" t="e">
        <f t="shared" si="12"/>
        <v>#N/A</v>
      </c>
    </row>
    <row r="106" spans="3:16" ht="14.4" x14ac:dyDescent="0.3">
      <c r="C106" s="49" t="e">
        <f>VLOOKUP(B106,DAY!$C$2:$D$7,2,FALSE)</f>
        <v>#N/A</v>
      </c>
      <c r="D106" s="17"/>
      <c r="G106"/>
      <c r="H106"/>
      <c r="I106" s="52">
        <f t="shared" si="13"/>
        <v>1</v>
      </c>
      <c r="K106" s="52" t="str">
        <f t="shared" si="14"/>
        <v xml:space="preserve">-  </v>
      </c>
      <c r="L106" s="52" t="str">
        <f t="shared" si="15"/>
        <v xml:space="preserve"> --</v>
      </c>
      <c r="M106" s="52" t="str">
        <f t="shared" si="16"/>
        <v>- -</v>
      </c>
      <c r="N106" s="19"/>
      <c r="O106" s="52" t="e">
        <f t="shared" si="11"/>
        <v>#N/A</v>
      </c>
      <c r="P106" s="52" t="e">
        <f t="shared" si="12"/>
        <v>#N/A</v>
      </c>
    </row>
    <row r="107" spans="3:16" ht="14.4" x14ac:dyDescent="0.3">
      <c r="C107" s="49" t="e">
        <f>VLOOKUP(B107,DAY!$C$2:$D$7,2,FALSE)</f>
        <v>#N/A</v>
      </c>
      <c r="D107" s="17"/>
      <c r="G107"/>
      <c r="H107"/>
      <c r="I107" s="52">
        <f t="shared" si="13"/>
        <v>1</v>
      </c>
      <c r="K107" s="52" t="str">
        <f t="shared" si="14"/>
        <v xml:space="preserve">-  </v>
      </c>
      <c r="L107" s="52" t="str">
        <f t="shared" si="15"/>
        <v xml:space="preserve"> --</v>
      </c>
      <c r="M107" s="52" t="str">
        <f t="shared" si="16"/>
        <v>- -</v>
      </c>
      <c r="N107" s="19"/>
      <c r="O107" s="52" t="e">
        <f t="shared" si="11"/>
        <v>#N/A</v>
      </c>
      <c r="P107" s="52" t="e">
        <f t="shared" si="12"/>
        <v>#N/A</v>
      </c>
    </row>
    <row r="108" spans="3:16" ht="14.4" x14ac:dyDescent="0.3">
      <c r="C108" s="49" t="e">
        <f>VLOOKUP(B108,DAY!$C$2:$D$7,2,FALSE)</f>
        <v>#N/A</v>
      </c>
      <c r="D108" s="17"/>
      <c r="G108"/>
      <c r="H108"/>
      <c r="I108" s="52">
        <f t="shared" si="13"/>
        <v>1</v>
      </c>
      <c r="K108" s="52" t="str">
        <f t="shared" si="14"/>
        <v xml:space="preserve">-  </v>
      </c>
      <c r="L108" s="52" t="str">
        <f t="shared" si="15"/>
        <v xml:space="preserve"> --</v>
      </c>
      <c r="M108" s="52" t="str">
        <f t="shared" si="16"/>
        <v>- -</v>
      </c>
      <c r="N108" s="19"/>
      <c r="O108" s="52" t="e">
        <f t="shared" si="11"/>
        <v>#N/A</v>
      </c>
      <c r="P108" s="52" t="e">
        <f t="shared" si="12"/>
        <v>#N/A</v>
      </c>
    </row>
    <row r="109" spans="3:16" ht="14.4" x14ac:dyDescent="0.3">
      <c r="C109" s="49" t="e">
        <f>VLOOKUP(B109,DAY!$C$2:$D$7,2,FALSE)</f>
        <v>#N/A</v>
      </c>
      <c r="D109" s="17"/>
      <c r="G109"/>
      <c r="H109"/>
      <c r="I109" s="52">
        <f t="shared" si="13"/>
        <v>1</v>
      </c>
      <c r="K109" s="52" t="str">
        <f t="shared" si="14"/>
        <v xml:space="preserve">-  </v>
      </c>
      <c r="L109" s="52" t="str">
        <f t="shared" si="15"/>
        <v xml:space="preserve"> --</v>
      </c>
      <c r="M109" s="52" t="str">
        <f t="shared" si="16"/>
        <v>- -</v>
      </c>
      <c r="N109" s="19"/>
      <c r="O109" s="52" t="e">
        <f t="shared" si="11"/>
        <v>#N/A</v>
      </c>
      <c r="P109" s="52" t="e">
        <f t="shared" si="12"/>
        <v>#N/A</v>
      </c>
    </row>
    <row r="110" spans="3:16" ht="14.4" x14ac:dyDescent="0.3">
      <c r="C110" s="49" t="e">
        <f>VLOOKUP(B110,DAY!$C$2:$D$7,2,FALSE)</f>
        <v>#N/A</v>
      </c>
      <c r="D110" s="17"/>
      <c r="G110"/>
      <c r="H110"/>
      <c r="I110" s="52">
        <f t="shared" si="13"/>
        <v>1</v>
      </c>
      <c r="K110" s="52" t="str">
        <f t="shared" si="14"/>
        <v xml:space="preserve">-  </v>
      </c>
      <c r="L110" s="52" t="str">
        <f t="shared" si="15"/>
        <v xml:space="preserve"> --</v>
      </c>
      <c r="M110" s="52" t="str">
        <f t="shared" si="16"/>
        <v>- -</v>
      </c>
      <c r="N110" s="19"/>
      <c r="O110" s="52" t="e">
        <f t="shared" si="11"/>
        <v>#N/A</v>
      </c>
      <c r="P110" s="52" t="e">
        <f t="shared" si="12"/>
        <v>#N/A</v>
      </c>
    </row>
    <row r="111" spans="3:16" ht="14.4" x14ac:dyDescent="0.3">
      <c r="C111" s="49" t="e">
        <f>VLOOKUP(B111,DAY!$C$2:$D$7,2,FALSE)</f>
        <v>#N/A</v>
      </c>
      <c r="D111" s="17"/>
      <c r="G111"/>
      <c r="H111"/>
      <c r="I111" s="52">
        <f t="shared" si="13"/>
        <v>1</v>
      </c>
      <c r="K111" s="52" t="str">
        <f t="shared" si="14"/>
        <v xml:space="preserve">-  </v>
      </c>
      <c r="L111" s="52" t="str">
        <f t="shared" si="15"/>
        <v xml:space="preserve"> --</v>
      </c>
      <c r="M111" s="52" t="str">
        <f t="shared" si="16"/>
        <v>- -</v>
      </c>
      <c r="N111" s="19"/>
      <c r="O111" s="52" t="e">
        <f t="shared" si="11"/>
        <v>#N/A</v>
      </c>
      <c r="P111" s="52" t="e">
        <f t="shared" si="12"/>
        <v>#N/A</v>
      </c>
    </row>
    <row r="112" spans="3:16" ht="14.4" x14ac:dyDescent="0.3">
      <c r="C112" s="49" t="e">
        <f>VLOOKUP(B112,DAY!$C$2:$D$7,2,FALSE)</f>
        <v>#N/A</v>
      </c>
      <c r="D112" s="17"/>
      <c r="G112"/>
      <c r="H112"/>
      <c r="I112" s="52">
        <f t="shared" si="13"/>
        <v>1</v>
      </c>
      <c r="K112" s="52" t="str">
        <f t="shared" si="14"/>
        <v xml:space="preserve">-  </v>
      </c>
      <c r="L112" s="52" t="str">
        <f t="shared" si="15"/>
        <v xml:space="preserve"> --</v>
      </c>
      <c r="M112" s="52" t="str">
        <f t="shared" si="16"/>
        <v>- -</v>
      </c>
      <c r="N112" s="19"/>
      <c r="O112" s="52" t="e">
        <f t="shared" si="11"/>
        <v>#N/A</v>
      </c>
      <c r="P112" s="52" t="e">
        <f t="shared" si="12"/>
        <v>#N/A</v>
      </c>
    </row>
    <row r="113" spans="3:16" ht="14.4" x14ac:dyDescent="0.3">
      <c r="C113" s="49" t="e">
        <f>VLOOKUP(B113,DAY!$C$2:$D$7,2,FALSE)</f>
        <v>#N/A</v>
      </c>
      <c r="D113" s="17"/>
      <c r="G113"/>
      <c r="H113"/>
      <c r="I113" s="52">
        <f t="shared" si="13"/>
        <v>1</v>
      </c>
      <c r="K113" s="52" t="str">
        <f t="shared" si="14"/>
        <v xml:space="preserve">-  </v>
      </c>
      <c r="L113" s="52" t="str">
        <f t="shared" si="15"/>
        <v xml:space="preserve"> --</v>
      </c>
      <c r="M113" s="52" t="str">
        <f t="shared" si="16"/>
        <v>- -</v>
      </c>
      <c r="N113" s="19"/>
      <c r="O113" s="52" t="e">
        <f t="shared" si="11"/>
        <v>#N/A</v>
      </c>
      <c r="P113" s="52" t="e">
        <f t="shared" si="12"/>
        <v>#N/A</v>
      </c>
    </row>
    <row r="114" spans="3:16" ht="14.4" x14ac:dyDescent="0.3">
      <c r="C114" s="49" t="e">
        <f>VLOOKUP(B114,DAY!$C$2:$D$7,2,FALSE)</f>
        <v>#N/A</v>
      </c>
      <c r="D114" s="17"/>
      <c r="G114"/>
      <c r="H114"/>
      <c r="I114" s="52">
        <f t="shared" si="13"/>
        <v>1</v>
      </c>
      <c r="K114" s="52" t="str">
        <f t="shared" si="14"/>
        <v xml:space="preserve">-  </v>
      </c>
      <c r="L114" s="52" t="str">
        <f t="shared" si="15"/>
        <v xml:space="preserve"> --</v>
      </c>
      <c r="M114" s="52" t="str">
        <f t="shared" si="16"/>
        <v>- -</v>
      </c>
      <c r="N114" s="19"/>
      <c r="O114" s="52" t="e">
        <f t="shared" si="11"/>
        <v>#N/A</v>
      </c>
      <c r="P114" s="52" t="e">
        <f t="shared" si="12"/>
        <v>#N/A</v>
      </c>
    </row>
    <row r="115" spans="3:16" ht="14.4" x14ac:dyDescent="0.3">
      <c r="C115" s="49" t="e">
        <f>VLOOKUP(B115,DAY!$C$2:$D$7,2,FALSE)</f>
        <v>#N/A</v>
      </c>
      <c r="D115" s="17"/>
      <c r="G115"/>
      <c r="H115"/>
      <c r="I115" s="52">
        <f t="shared" si="13"/>
        <v>1</v>
      </c>
      <c r="K115" s="52" t="str">
        <f t="shared" si="14"/>
        <v xml:space="preserve">-  </v>
      </c>
      <c r="L115" s="52" t="str">
        <f t="shared" si="15"/>
        <v xml:space="preserve"> --</v>
      </c>
      <c r="M115" s="52" t="str">
        <f t="shared" si="16"/>
        <v>- -</v>
      </c>
      <c r="N115" s="19"/>
      <c r="O115" s="52" t="e">
        <f t="shared" si="11"/>
        <v>#N/A</v>
      </c>
      <c r="P115" s="52" t="e">
        <f t="shared" si="12"/>
        <v>#N/A</v>
      </c>
    </row>
    <row r="116" spans="3:16" ht="14.4" x14ac:dyDescent="0.3">
      <c r="C116" s="49" t="e">
        <f>VLOOKUP(B116,DAY!$C$2:$D$7,2,FALSE)</f>
        <v>#N/A</v>
      </c>
      <c r="D116" s="17"/>
      <c r="G116"/>
      <c r="H116"/>
      <c r="I116" s="52">
        <f t="shared" si="13"/>
        <v>1</v>
      </c>
      <c r="K116" s="52" t="str">
        <f t="shared" si="14"/>
        <v xml:space="preserve">-  </v>
      </c>
      <c r="L116" s="52" t="str">
        <f t="shared" si="15"/>
        <v xml:space="preserve"> --</v>
      </c>
      <c r="M116" s="52" t="str">
        <f t="shared" si="16"/>
        <v>- -</v>
      </c>
      <c r="N116" s="19"/>
      <c r="O116" s="52" t="e">
        <f t="shared" si="11"/>
        <v>#N/A</v>
      </c>
      <c r="P116" s="52" t="e">
        <f t="shared" si="12"/>
        <v>#N/A</v>
      </c>
    </row>
    <row r="117" spans="3:16" ht="14.4" x14ac:dyDescent="0.3">
      <c r="C117" s="49" t="e">
        <f>VLOOKUP(B117,DAY!$C$2:$D$7,2,FALSE)</f>
        <v>#N/A</v>
      </c>
      <c r="D117" s="17"/>
      <c r="G117"/>
      <c r="H117"/>
      <c r="I117" s="52">
        <f t="shared" si="13"/>
        <v>1</v>
      </c>
      <c r="K117" s="52" t="str">
        <f t="shared" si="14"/>
        <v xml:space="preserve">-  </v>
      </c>
      <c r="L117" s="52" t="str">
        <f t="shared" si="15"/>
        <v xml:space="preserve"> --</v>
      </c>
      <c r="M117" s="52" t="str">
        <f t="shared" si="16"/>
        <v>- -</v>
      </c>
      <c r="N117" s="19"/>
      <c r="O117" s="52" t="e">
        <f t="shared" si="11"/>
        <v>#N/A</v>
      </c>
      <c r="P117" s="52" t="e">
        <f t="shared" si="12"/>
        <v>#N/A</v>
      </c>
    </row>
    <row r="118" spans="3:16" ht="14.4" x14ac:dyDescent="0.3">
      <c r="C118" s="49" t="e">
        <f>VLOOKUP(B118,DAY!$C$2:$D$7,2,FALSE)</f>
        <v>#N/A</v>
      </c>
      <c r="D118" s="17"/>
      <c r="G118"/>
      <c r="H118"/>
      <c r="I118" s="52">
        <f t="shared" si="13"/>
        <v>1</v>
      </c>
      <c r="K118" s="52" t="str">
        <f t="shared" si="14"/>
        <v xml:space="preserve">-  </v>
      </c>
      <c r="L118" s="52" t="str">
        <f t="shared" si="15"/>
        <v xml:space="preserve"> --</v>
      </c>
      <c r="M118" s="52" t="str">
        <f t="shared" si="16"/>
        <v>- -</v>
      </c>
      <c r="N118" s="19"/>
      <c r="O118" s="52" t="e">
        <f t="shared" si="11"/>
        <v>#N/A</v>
      </c>
      <c r="P118" s="52" t="e">
        <f t="shared" si="12"/>
        <v>#N/A</v>
      </c>
    </row>
    <row r="119" spans="3:16" ht="14.4" x14ac:dyDescent="0.3">
      <c r="C119" s="49" t="e">
        <f>VLOOKUP(B119,DAY!$C$2:$D$7,2,FALSE)</f>
        <v>#N/A</v>
      </c>
      <c r="D119" s="17"/>
      <c r="G119"/>
      <c r="H119"/>
      <c r="I119" s="52">
        <f t="shared" si="13"/>
        <v>1</v>
      </c>
      <c r="K119" s="52" t="str">
        <f t="shared" si="14"/>
        <v xml:space="preserve">-  </v>
      </c>
      <c r="L119" s="52" t="str">
        <f t="shared" si="15"/>
        <v xml:space="preserve"> --</v>
      </c>
      <c r="M119" s="52" t="str">
        <f t="shared" si="16"/>
        <v>- -</v>
      </c>
      <c r="N119" s="19"/>
      <c r="O119" s="52" t="e">
        <f t="shared" si="11"/>
        <v>#N/A</v>
      </c>
      <c r="P119" s="52" t="e">
        <f t="shared" si="12"/>
        <v>#N/A</v>
      </c>
    </row>
    <row r="120" spans="3:16" ht="14.4" x14ac:dyDescent="0.3">
      <c r="C120" s="49" t="e">
        <f>VLOOKUP(B120,DAY!$C$2:$D$7,2,FALSE)</f>
        <v>#N/A</v>
      </c>
      <c r="D120" s="17"/>
      <c r="G120"/>
      <c r="H120"/>
      <c r="I120" s="52">
        <f t="shared" si="13"/>
        <v>1</v>
      </c>
      <c r="K120" s="52" t="str">
        <f t="shared" si="14"/>
        <v xml:space="preserve">-  </v>
      </c>
      <c r="L120" s="52" t="str">
        <f t="shared" si="15"/>
        <v xml:space="preserve"> --</v>
      </c>
      <c r="M120" s="52" t="str">
        <f t="shared" si="16"/>
        <v>- -</v>
      </c>
      <c r="N120" s="19"/>
      <c r="O120" s="52" t="e">
        <f t="shared" si="11"/>
        <v>#N/A</v>
      </c>
      <c r="P120" s="52" t="e">
        <f t="shared" si="12"/>
        <v>#N/A</v>
      </c>
    </row>
    <row r="121" spans="3:16" ht="14.4" x14ac:dyDescent="0.3">
      <c r="C121" s="49" t="e">
        <f>VLOOKUP(B121,DAY!$C$2:$D$7,2,FALSE)</f>
        <v>#N/A</v>
      </c>
      <c r="D121" s="17"/>
      <c r="G121"/>
      <c r="H121"/>
      <c r="I121" s="52">
        <f t="shared" si="13"/>
        <v>1</v>
      </c>
      <c r="K121" s="52" t="str">
        <f t="shared" si="14"/>
        <v xml:space="preserve">-  </v>
      </c>
      <c r="L121" s="52" t="str">
        <f t="shared" si="15"/>
        <v xml:space="preserve"> --</v>
      </c>
      <c r="M121" s="52" t="str">
        <f t="shared" si="16"/>
        <v>- -</v>
      </c>
      <c r="N121" s="19"/>
      <c r="O121" s="52" t="e">
        <f t="shared" si="11"/>
        <v>#N/A</v>
      </c>
      <c r="P121" s="52" t="e">
        <f t="shared" si="12"/>
        <v>#N/A</v>
      </c>
    </row>
    <row r="122" spans="3:16" ht="14.4" x14ac:dyDescent="0.3">
      <c r="C122" s="49" t="e">
        <f>VLOOKUP(B122,DAY!$C$2:$D$7,2,FALSE)</f>
        <v>#N/A</v>
      </c>
      <c r="D122" s="17"/>
      <c r="G122"/>
      <c r="H122"/>
      <c r="I122" s="52">
        <f t="shared" si="13"/>
        <v>1</v>
      </c>
      <c r="K122" s="52" t="str">
        <f t="shared" si="14"/>
        <v xml:space="preserve">-  </v>
      </c>
      <c r="L122" s="52" t="str">
        <f t="shared" si="15"/>
        <v xml:space="preserve"> --</v>
      </c>
      <c r="M122" s="52" t="str">
        <f t="shared" si="16"/>
        <v>- -</v>
      </c>
      <c r="N122" s="19"/>
      <c r="O122" s="52" t="e">
        <f t="shared" si="11"/>
        <v>#N/A</v>
      </c>
      <c r="P122" s="52" t="e">
        <f t="shared" si="12"/>
        <v>#N/A</v>
      </c>
    </row>
    <row r="123" spans="3:16" ht="14.4" x14ac:dyDescent="0.3">
      <c r="C123" s="49" t="e">
        <f>VLOOKUP(B123,DAY!$C$2:$D$7,2,FALSE)</f>
        <v>#N/A</v>
      </c>
      <c r="D123" s="17"/>
      <c r="G123"/>
      <c r="H123"/>
      <c r="I123" s="52">
        <f t="shared" si="13"/>
        <v>1</v>
      </c>
      <c r="K123" s="52" t="str">
        <f t="shared" si="14"/>
        <v xml:space="preserve">-  </v>
      </c>
      <c r="L123" s="52" t="str">
        <f t="shared" si="15"/>
        <v xml:space="preserve"> --</v>
      </c>
      <c r="M123" s="52" t="str">
        <f t="shared" si="16"/>
        <v>- -</v>
      </c>
      <c r="N123" s="19"/>
      <c r="O123" s="52" t="e">
        <f t="shared" si="11"/>
        <v>#N/A</v>
      </c>
      <c r="P123" s="52" t="e">
        <f t="shared" si="12"/>
        <v>#N/A</v>
      </c>
    </row>
    <row r="124" spans="3:16" ht="14.4" x14ac:dyDescent="0.3">
      <c r="C124" s="49" t="e">
        <f>VLOOKUP(B124,DAY!$C$2:$D$7,2,FALSE)</f>
        <v>#N/A</v>
      </c>
      <c r="D124" s="17"/>
      <c r="G124"/>
      <c r="H124"/>
      <c r="I124" s="52">
        <f t="shared" si="13"/>
        <v>1</v>
      </c>
      <c r="K124" s="52" t="str">
        <f t="shared" si="14"/>
        <v xml:space="preserve">-  </v>
      </c>
      <c r="L124" s="52" t="str">
        <f t="shared" si="15"/>
        <v xml:space="preserve"> --</v>
      </c>
      <c r="M124" s="52" t="str">
        <f t="shared" si="16"/>
        <v>- -</v>
      </c>
      <c r="N124" s="19"/>
      <c r="O124" s="52" t="e">
        <f t="shared" si="11"/>
        <v>#N/A</v>
      </c>
      <c r="P124" s="52" t="e">
        <f t="shared" si="12"/>
        <v>#N/A</v>
      </c>
    </row>
    <row r="125" spans="3:16" ht="14.4" x14ac:dyDescent="0.3">
      <c r="C125" s="49" t="e">
        <f>VLOOKUP(B125,DAY!$C$2:$D$7,2,FALSE)</f>
        <v>#N/A</v>
      </c>
      <c r="D125" s="17"/>
      <c r="G125"/>
      <c r="H125"/>
      <c r="I125" s="52">
        <f t="shared" si="13"/>
        <v>1</v>
      </c>
      <c r="K125" s="52" t="str">
        <f t="shared" si="14"/>
        <v xml:space="preserve">-  </v>
      </c>
      <c r="L125" s="52" t="str">
        <f t="shared" si="15"/>
        <v xml:space="preserve"> --</v>
      </c>
      <c r="M125" s="52" t="str">
        <f t="shared" si="16"/>
        <v>- -</v>
      </c>
      <c r="N125" s="19"/>
      <c r="O125" s="52" t="e">
        <f t="shared" si="11"/>
        <v>#N/A</v>
      </c>
      <c r="P125" s="52" t="e">
        <f t="shared" si="12"/>
        <v>#N/A</v>
      </c>
    </row>
    <row r="126" spans="3:16" ht="14.4" x14ac:dyDescent="0.3">
      <c r="C126" s="49" t="e">
        <f>VLOOKUP(B126,DAY!$C$2:$D$7,2,FALSE)</f>
        <v>#N/A</v>
      </c>
      <c r="D126" s="17"/>
      <c r="G126"/>
      <c r="H126"/>
      <c r="I126" s="52">
        <f t="shared" si="13"/>
        <v>1</v>
      </c>
      <c r="K126" s="52" t="str">
        <f t="shared" si="14"/>
        <v xml:space="preserve">-  </v>
      </c>
      <c r="L126" s="52" t="str">
        <f t="shared" si="15"/>
        <v xml:space="preserve"> --</v>
      </c>
      <c r="M126" s="52" t="str">
        <f t="shared" si="16"/>
        <v>- -</v>
      </c>
      <c r="N126" s="19"/>
      <c r="O126" s="52" t="e">
        <f t="shared" si="11"/>
        <v>#N/A</v>
      </c>
      <c r="P126" s="52" t="e">
        <f t="shared" si="12"/>
        <v>#N/A</v>
      </c>
    </row>
    <row r="127" spans="3:16" ht="14.4" x14ac:dyDescent="0.3">
      <c r="C127" s="49" t="e">
        <f>VLOOKUP(B127,DAY!$C$2:$D$7,2,FALSE)</f>
        <v>#N/A</v>
      </c>
      <c r="D127" s="17"/>
      <c r="G127"/>
      <c r="H127"/>
      <c r="I127" s="52">
        <f t="shared" si="13"/>
        <v>1</v>
      </c>
      <c r="K127" s="52" t="str">
        <f t="shared" si="14"/>
        <v xml:space="preserve">-  </v>
      </c>
      <c r="L127" s="52" t="str">
        <f t="shared" si="15"/>
        <v xml:space="preserve"> --</v>
      </c>
      <c r="M127" s="52" t="str">
        <f t="shared" si="16"/>
        <v>- -</v>
      </c>
      <c r="N127" s="19"/>
      <c r="O127" s="52" t="e">
        <f t="shared" si="11"/>
        <v>#N/A</v>
      </c>
      <c r="P127" s="52" t="e">
        <f t="shared" si="12"/>
        <v>#N/A</v>
      </c>
    </row>
    <row r="128" spans="3:16" ht="14.4" x14ac:dyDescent="0.3">
      <c r="C128" s="49" t="e">
        <f>VLOOKUP(B128,DAY!$C$2:$D$7,2,FALSE)</f>
        <v>#N/A</v>
      </c>
      <c r="D128" s="17"/>
      <c r="G128"/>
      <c r="H128"/>
      <c r="I128" s="52">
        <f t="shared" si="13"/>
        <v>1</v>
      </c>
      <c r="K128" s="52" t="str">
        <f t="shared" si="14"/>
        <v xml:space="preserve">-  </v>
      </c>
      <c r="L128" s="52" t="str">
        <f t="shared" si="15"/>
        <v xml:space="preserve"> --</v>
      </c>
      <c r="M128" s="52" t="str">
        <f t="shared" si="16"/>
        <v>- -</v>
      </c>
      <c r="N128" s="19"/>
      <c r="O128" s="52" t="e">
        <f t="shared" si="11"/>
        <v>#N/A</v>
      </c>
      <c r="P128" s="52" t="e">
        <f t="shared" si="12"/>
        <v>#N/A</v>
      </c>
    </row>
    <row r="129" spans="3:16" ht="14.4" x14ac:dyDescent="0.3">
      <c r="C129" s="49" t="e">
        <f>VLOOKUP(B129,DAY!$C$2:$D$7,2,FALSE)</f>
        <v>#N/A</v>
      </c>
      <c r="D129" s="17"/>
      <c r="G129"/>
      <c r="H129"/>
      <c r="I129" s="52">
        <f t="shared" si="13"/>
        <v>1</v>
      </c>
      <c r="K129" s="52" t="str">
        <f t="shared" si="14"/>
        <v xml:space="preserve">-  </v>
      </c>
      <c r="L129" s="52" t="str">
        <f t="shared" si="15"/>
        <v xml:space="preserve"> --</v>
      </c>
      <c r="M129" s="52" t="str">
        <f t="shared" si="16"/>
        <v>- -</v>
      </c>
      <c r="N129" s="19"/>
      <c r="O129" s="52" t="e">
        <f t="shared" si="11"/>
        <v>#N/A</v>
      </c>
      <c r="P129" s="52" t="e">
        <f t="shared" si="12"/>
        <v>#N/A</v>
      </c>
    </row>
    <row r="130" spans="3:16" ht="14.4" x14ac:dyDescent="0.3">
      <c r="C130" s="49" t="e">
        <f>VLOOKUP(B130,DAY!$C$2:$D$7,2,FALSE)</f>
        <v>#N/A</v>
      </c>
      <c r="D130" s="17"/>
      <c r="G130"/>
      <c r="H130"/>
      <c r="I130" s="52">
        <f t="shared" si="13"/>
        <v>1</v>
      </c>
      <c r="K130" s="52" t="str">
        <f t="shared" si="14"/>
        <v xml:space="preserve">-  </v>
      </c>
      <c r="L130" s="52" t="str">
        <f t="shared" si="15"/>
        <v xml:space="preserve"> --</v>
      </c>
      <c r="M130" s="52" t="str">
        <f t="shared" si="16"/>
        <v>- -</v>
      </c>
      <c r="N130" s="19"/>
      <c r="O130" s="52" t="e">
        <f t="shared" si="11"/>
        <v>#N/A</v>
      </c>
      <c r="P130" s="52" t="e">
        <f t="shared" si="12"/>
        <v>#N/A</v>
      </c>
    </row>
    <row r="131" spans="3:16" ht="14.4" x14ac:dyDescent="0.3">
      <c r="C131" s="49" t="e">
        <f>VLOOKUP(B131,DAY!$C$2:$D$7,2,FALSE)</f>
        <v>#N/A</v>
      </c>
      <c r="D131" s="17"/>
      <c r="G131"/>
      <c r="H131"/>
      <c r="I131" s="52">
        <f t="shared" ref="I131:I194" si="17">IF(H131="",1,2)</f>
        <v>1</v>
      </c>
      <c r="K131" s="52" t="str">
        <f t="shared" ref="K131:K194" si="18">E131&amp;"-"&amp;A131&amp;" "&amp;H131&amp;" "&amp;G131</f>
        <v xml:space="preserve">-  </v>
      </c>
      <c r="L131" s="52" t="str">
        <f t="shared" ref="L131:L194" si="19">H131&amp;" "&amp;E131&amp;"-"&amp;F131&amp;"-"&amp;G131</f>
        <v xml:space="preserve"> --</v>
      </c>
      <c r="M131" s="52" t="str">
        <f t="shared" ref="M131:M194" si="20">A131&amp;"-"&amp;H131&amp;" "&amp;E131&amp;"-"&amp;F131</f>
        <v>- -</v>
      </c>
      <c r="N131" s="19"/>
      <c r="O131" s="52" t="e">
        <f t="shared" ref="O131:O194" si="21">C131&amp;D131&amp;F131</f>
        <v>#N/A</v>
      </c>
      <c r="P131" s="52" t="e">
        <f t="shared" ref="P131:P194" si="22">C131&amp;D131&amp;G131</f>
        <v>#N/A</v>
      </c>
    </row>
    <row r="132" spans="3:16" ht="14.4" x14ac:dyDescent="0.3">
      <c r="C132" s="49" t="e">
        <f>VLOOKUP(B132,DAY!$C$2:$D$7,2,FALSE)</f>
        <v>#N/A</v>
      </c>
      <c r="D132" s="17"/>
      <c r="G132"/>
      <c r="H132"/>
      <c r="I132" s="52">
        <f t="shared" si="17"/>
        <v>1</v>
      </c>
      <c r="K132" s="52" t="str">
        <f t="shared" si="18"/>
        <v xml:space="preserve">-  </v>
      </c>
      <c r="L132" s="52" t="str">
        <f t="shared" si="19"/>
        <v xml:space="preserve"> --</v>
      </c>
      <c r="M132" s="52" t="str">
        <f t="shared" si="20"/>
        <v>- -</v>
      </c>
      <c r="N132" s="19"/>
      <c r="O132" s="52" t="e">
        <f t="shared" si="21"/>
        <v>#N/A</v>
      </c>
      <c r="P132" s="52" t="e">
        <f t="shared" si="22"/>
        <v>#N/A</v>
      </c>
    </row>
    <row r="133" spans="3:16" ht="14.4" x14ac:dyDescent="0.3">
      <c r="C133" s="49" t="e">
        <f>VLOOKUP(B133,DAY!$C$2:$D$7,2,FALSE)</f>
        <v>#N/A</v>
      </c>
      <c r="D133" s="17"/>
      <c r="G133"/>
      <c r="H133"/>
      <c r="I133" s="52">
        <f t="shared" si="17"/>
        <v>1</v>
      </c>
      <c r="K133" s="52" t="str">
        <f t="shared" si="18"/>
        <v xml:space="preserve">-  </v>
      </c>
      <c r="L133" s="52" t="str">
        <f t="shared" si="19"/>
        <v xml:space="preserve"> --</v>
      </c>
      <c r="M133" s="52" t="str">
        <f t="shared" si="20"/>
        <v>- -</v>
      </c>
      <c r="N133" s="19"/>
      <c r="O133" s="52" t="e">
        <f t="shared" si="21"/>
        <v>#N/A</v>
      </c>
      <c r="P133" s="52" t="e">
        <f t="shared" si="22"/>
        <v>#N/A</v>
      </c>
    </row>
    <row r="134" spans="3:16" ht="14.4" x14ac:dyDescent="0.3">
      <c r="C134" s="49" t="e">
        <f>VLOOKUP(B134,DAY!$C$2:$D$7,2,FALSE)</f>
        <v>#N/A</v>
      </c>
      <c r="D134" s="17"/>
      <c r="G134"/>
      <c r="H134"/>
      <c r="I134" s="52">
        <f t="shared" si="17"/>
        <v>1</v>
      </c>
      <c r="K134" s="52" t="str">
        <f t="shared" si="18"/>
        <v xml:space="preserve">-  </v>
      </c>
      <c r="L134" s="52" t="str">
        <f t="shared" si="19"/>
        <v xml:space="preserve"> --</v>
      </c>
      <c r="M134" s="52" t="str">
        <f t="shared" si="20"/>
        <v>- -</v>
      </c>
      <c r="N134" s="19"/>
      <c r="O134" s="52" t="e">
        <f t="shared" si="21"/>
        <v>#N/A</v>
      </c>
      <c r="P134" s="52" t="e">
        <f t="shared" si="22"/>
        <v>#N/A</v>
      </c>
    </row>
    <row r="135" spans="3:16" ht="14.4" x14ac:dyDescent="0.3">
      <c r="C135" s="49" t="e">
        <f>VLOOKUP(B135,DAY!$C$2:$D$7,2,FALSE)</f>
        <v>#N/A</v>
      </c>
      <c r="D135" s="17"/>
      <c r="G135"/>
      <c r="H135"/>
      <c r="I135" s="52">
        <f t="shared" si="17"/>
        <v>1</v>
      </c>
      <c r="K135" s="52" t="str">
        <f t="shared" si="18"/>
        <v xml:space="preserve">-  </v>
      </c>
      <c r="L135" s="52" t="str">
        <f t="shared" si="19"/>
        <v xml:space="preserve"> --</v>
      </c>
      <c r="M135" s="52" t="str">
        <f t="shared" si="20"/>
        <v>- -</v>
      </c>
      <c r="N135" s="19"/>
      <c r="O135" s="52" t="e">
        <f t="shared" si="21"/>
        <v>#N/A</v>
      </c>
      <c r="P135" s="52" t="e">
        <f t="shared" si="22"/>
        <v>#N/A</v>
      </c>
    </row>
    <row r="136" spans="3:16" ht="14.4" x14ac:dyDescent="0.3">
      <c r="C136" s="49" t="e">
        <f>VLOOKUP(B136,DAY!$C$2:$D$7,2,FALSE)</f>
        <v>#N/A</v>
      </c>
      <c r="D136" s="17"/>
      <c r="G136"/>
      <c r="H136"/>
      <c r="I136" s="52">
        <f t="shared" si="17"/>
        <v>1</v>
      </c>
      <c r="K136" s="52" t="str">
        <f t="shared" si="18"/>
        <v xml:space="preserve">-  </v>
      </c>
      <c r="L136" s="52" t="str">
        <f t="shared" si="19"/>
        <v xml:space="preserve"> --</v>
      </c>
      <c r="M136" s="52" t="str">
        <f t="shared" si="20"/>
        <v>- -</v>
      </c>
      <c r="N136" s="19"/>
      <c r="O136" s="52" t="e">
        <f t="shared" si="21"/>
        <v>#N/A</v>
      </c>
      <c r="P136" s="52" t="e">
        <f t="shared" si="22"/>
        <v>#N/A</v>
      </c>
    </row>
    <row r="137" spans="3:16" ht="14.4" x14ac:dyDescent="0.3">
      <c r="C137" s="49" t="e">
        <f>VLOOKUP(B137,DAY!$C$2:$D$7,2,FALSE)</f>
        <v>#N/A</v>
      </c>
      <c r="D137" s="17"/>
      <c r="G137"/>
      <c r="H137"/>
      <c r="I137" s="52">
        <f t="shared" si="17"/>
        <v>1</v>
      </c>
      <c r="K137" s="52" t="str">
        <f t="shared" si="18"/>
        <v xml:space="preserve">-  </v>
      </c>
      <c r="L137" s="52" t="str">
        <f t="shared" si="19"/>
        <v xml:space="preserve"> --</v>
      </c>
      <c r="M137" s="52" t="str">
        <f t="shared" si="20"/>
        <v>- -</v>
      </c>
      <c r="N137" s="19"/>
      <c r="O137" s="52" t="e">
        <f t="shared" si="21"/>
        <v>#N/A</v>
      </c>
      <c r="P137" s="52" t="e">
        <f t="shared" si="22"/>
        <v>#N/A</v>
      </c>
    </row>
    <row r="138" spans="3:16" ht="14.4" x14ac:dyDescent="0.3">
      <c r="C138" s="49" t="e">
        <f>VLOOKUP(B138,DAY!$C$2:$D$7,2,FALSE)</f>
        <v>#N/A</v>
      </c>
      <c r="D138" s="17"/>
      <c r="G138"/>
      <c r="H138"/>
      <c r="I138" s="52">
        <f t="shared" si="17"/>
        <v>1</v>
      </c>
      <c r="K138" s="52" t="str">
        <f t="shared" si="18"/>
        <v xml:space="preserve">-  </v>
      </c>
      <c r="L138" s="52" t="str">
        <f t="shared" si="19"/>
        <v xml:space="preserve"> --</v>
      </c>
      <c r="M138" s="52" t="str">
        <f t="shared" si="20"/>
        <v>- -</v>
      </c>
      <c r="N138" s="19"/>
      <c r="O138" s="52" t="e">
        <f t="shared" si="21"/>
        <v>#N/A</v>
      </c>
      <c r="P138" s="52" t="e">
        <f t="shared" si="22"/>
        <v>#N/A</v>
      </c>
    </row>
    <row r="139" spans="3:16" ht="14.4" x14ac:dyDescent="0.3">
      <c r="C139" s="49" t="e">
        <f>VLOOKUP(B139,DAY!$C$2:$D$7,2,FALSE)</f>
        <v>#N/A</v>
      </c>
      <c r="D139" s="17"/>
      <c r="G139"/>
      <c r="H139"/>
      <c r="I139" s="52">
        <f t="shared" si="17"/>
        <v>1</v>
      </c>
      <c r="K139" s="52" t="str">
        <f t="shared" si="18"/>
        <v xml:space="preserve">-  </v>
      </c>
      <c r="L139" s="52" t="str">
        <f t="shared" si="19"/>
        <v xml:space="preserve"> --</v>
      </c>
      <c r="M139" s="52" t="str">
        <f t="shared" si="20"/>
        <v>- -</v>
      </c>
      <c r="N139" s="19"/>
      <c r="O139" s="52" t="e">
        <f t="shared" si="21"/>
        <v>#N/A</v>
      </c>
      <c r="P139" s="52" t="e">
        <f t="shared" si="22"/>
        <v>#N/A</v>
      </c>
    </row>
    <row r="140" spans="3:16" ht="14.4" x14ac:dyDescent="0.3">
      <c r="C140" s="49" t="e">
        <f>VLOOKUP(B140,DAY!$C$2:$D$7,2,FALSE)</f>
        <v>#N/A</v>
      </c>
      <c r="D140" s="17"/>
      <c r="G140"/>
      <c r="H140"/>
      <c r="I140" s="52">
        <f t="shared" si="17"/>
        <v>1</v>
      </c>
      <c r="K140" s="52" t="str">
        <f t="shared" si="18"/>
        <v xml:space="preserve">-  </v>
      </c>
      <c r="L140" s="52" t="str">
        <f t="shared" si="19"/>
        <v xml:space="preserve"> --</v>
      </c>
      <c r="M140" s="52" t="str">
        <f t="shared" si="20"/>
        <v>- -</v>
      </c>
      <c r="N140" s="19"/>
      <c r="O140" s="52" t="e">
        <f t="shared" si="21"/>
        <v>#N/A</v>
      </c>
      <c r="P140" s="52" t="e">
        <f t="shared" si="22"/>
        <v>#N/A</v>
      </c>
    </row>
    <row r="141" spans="3:16" ht="14.4" x14ac:dyDescent="0.3">
      <c r="C141" s="49" t="e">
        <f>VLOOKUP(B141,DAY!$C$2:$D$7,2,FALSE)</f>
        <v>#N/A</v>
      </c>
      <c r="D141" s="17"/>
      <c r="G141"/>
      <c r="H141"/>
      <c r="I141" s="52">
        <f t="shared" si="17"/>
        <v>1</v>
      </c>
      <c r="K141" s="52" t="str">
        <f t="shared" si="18"/>
        <v xml:space="preserve">-  </v>
      </c>
      <c r="L141" s="52" t="str">
        <f t="shared" si="19"/>
        <v xml:space="preserve"> --</v>
      </c>
      <c r="M141" s="52" t="str">
        <f t="shared" si="20"/>
        <v>- -</v>
      </c>
      <c r="N141" s="19"/>
      <c r="O141" s="52" t="e">
        <f t="shared" si="21"/>
        <v>#N/A</v>
      </c>
      <c r="P141" s="52" t="e">
        <f t="shared" si="22"/>
        <v>#N/A</v>
      </c>
    </row>
    <row r="142" spans="3:16" ht="14.4" x14ac:dyDescent="0.3">
      <c r="C142" s="49" t="e">
        <f>VLOOKUP(B142,DAY!$C$2:$D$7,2,FALSE)</f>
        <v>#N/A</v>
      </c>
      <c r="D142" s="17"/>
      <c r="G142"/>
      <c r="H142"/>
      <c r="I142" s="52">
        <f t="shared" si="17"/>
        <v>1</v>
      </c>
      <c r="K142" s="52" t="str">
        <f t="shared" si="18"/>
        <v xml:space="preserve">-  </v>
      </c>
      <c r="L142" s="52" t="str">
        <f t="shared" si="19"/>
        <v xml:space="preserve"> --</v>
      </c>
      <c r="M142" s="52" t="str">
        <f t="shared" si="20"/>
        <v>- -</v>
      </c>
      <c r="N142" s="19"/>
      <c r="O142" s="52" t="e">
        <f t="shared" si="21"/>
        <v>#N/A</v>
      </c>
      <c r="P142" s="52" t="e">
        <f t="shared" si="22"/>
        <v>#N/A</v>
      </c>
    </row>
    <row r="143" spans="3:16" ht="14.4" x14ac:dyDescent="0.3">
      <c r="C143" s="49" t="e">
        <f>VLOOKUP(B143,DAY!$C$2:$D$7,2,FALSE)</f>
        <v>#N/A</v>
      </c>
      <c r="D143" s="17"/>
      <c r="G143"/>
      <c r="H143"/>
      <c r="I143" s="52">
        <f t="shared" si="17"/>
        <v>1</v>
      </c>
      <c r="K143" s="52" t="str">
        <f t="shared" si="18"/>
        <v xml:space="preserve">-  </v>
      </c>
      <c r="L143" s="52" t="str">
        <f t="shared" si="19"/>
        <v xml:space="preserve"> --</v>
      </c>
      <c r="M143" s="52" t="str">
        <f t="shared" si="20"/>
        <v>- -</v>
      </c>
      <c r="N143" s="19"/>
      <c r="O143" s="52" t="e">
        <f t="shared" si="21"/>
        <v>#N/A</v>
      </c>
      <c r="P143" s="52" t="e">
        <f t="shared" si="22"/>
        <v>#N/A</v>
      </c>
    </row>
    <row r="144" spans="3:16" ht="14.4" x14ac:dyDescent="0.3">
      <c r="C144" s="49" t="e">
        <f>VLOOKUP(B144,DAY!$C$2:$D$7,2,FALSE)</f>
        <v>#N/A</v>
      </c>
      <c r="D144" s="17"/>
      <c r="G144"/>
      <c r="H144"/>
      <c r="I144" s="52">
        <f t="shared" si="17"/>
        <v>1</v>
      </c>
      <c r="K144" s="52" t="str">
        <f t="shared" si="18"/>
        <v xml:space="preserve">-  </v>
      </c>
      <c r="L144" s="52" t="str">
        <f t="shared" si="19"/>
        <v xml:space="preserve"> --</v>
      </c>
      <c r="M144" s="52" t="str">
        <f t="shared" si="20"/>
        <v>- -</v>
      </c>
      <c r="N144" s="19"/>
      <c r="O144" s="52" t="e">
        <f t="shared" si="21"/>
        <v>#N/A</v>
      </c>
      <c r="P144" s="52" t="e">
        <f t="shared" si="22"/>
        <v>#N/A</v>
      </c>
    </row>
    <row r="145" spans="3:16" ht="14.4" x14ac:dyDescent="0.3">
      <c r="C145" s="49" t="e">
        <f>VLOOKUP(B145,DAY!$C$2:$D$7,2,FALSE)</f>
        <v>#N/A</v>
      </c>
      <c r="D145" s="17"/>
      <c r="G145"/>
      <c r="H145"/>
      <c r="I145" s="52">
        <f t="shared" si="17"/>
        <v>1</v>
      </c>
      <c r="K145" s="52" t="str">
        <f t="shared" si="18"/>
        <v xml:space="preserve">-  </v>
      </c>
      <c r="L145" s="52" t="str">
        <f t="shared" si="19"/>
        <v xml:space="preserve"> --</v>
      </c>
      <c r="M145" s="52" t="str">
        <f t="shared" si="20"/>
        <v>- -</v>
      </c>
      <c r="N145" s="19"/>
      <c r="O145" s="52" t="e">
        <f t="shared" si="21"/>
        <v>#N/A</v>
      </c>
      <c r="P145" s="52" t="e">
        <f t="shared" si="22"/>
        <v>#N/A</v>
      </c>
    </row>
    <row r="146" spans="3:16" ht="14.4" x14ac:dyDescent="0.3">
      <c r="C146" s="49" t="e">
        <f>VLOOKUP(B146,DAY!$C$2:$D$7,2,FALSE)</f>
        <v>#N/A</v>
      </c>
      <c r="D146" s="17"/>
      <c r="G146"/>
      <c r="H146"/>
      <c r="I146" s="52">
        <f t="shared" si="17"/>
        <v>1</v>
      </c>
      <c r="K146" s="52" t="str">
        <f t="shared" si="18"/>
        <v xml:space="preserve">-  </v>
      </c>
      <c r="L146" s="52" t="str">
        <f t="shared" si="19"/>
        <v xml:space="preserve"> --</v>
      </c>
      <c r="M146" s="52" t="str">
        <f t="shared" si="20"/>
        <v>- -</v>
      </c>
      <c r="N146" s="19"/>
      <c r="O146" s="52" t="e">
        <f t="shared" si="21"/>
        <v>#N/A</v>
      </c>
      <c r="P146" s="52" t="e">
        <f t="shared" si="22"/>
        <v>#N/A</v>
      </c>
    </row>
    <row r="147" spans="3:16" ht="14.4" x14ac:dyDescent="0.3">
      <c r="C147" s="49" t="e">
        <f>VLOOKUP(B147,DAY!$C$2:$D$7,2,FALSE)</f>
        <v>#N/A</v>
      </c>
      <c r="D147" s="17"/>
      <c r="G147"/>
      <c r="H147"/>
      <c r="I147" s="52">
        <f t="shared" si="17"/>
        <v>1</v>
      </c>
      <c r="K147" s="52" t="str">
        <f t="shared" si="18"/>
        <v xml:space="preserve">-  </v>
      </c>
      <c r="L147" s="52" t="str">
        <f t="shared" si="19"/>
        <v xml:space="preserve"> --</v>
      </c>
      <c r="M147" s="52" t="str">
        <f t="shared" si="20"/>
        <v>- -</v>
      </c>
      <c r="N147" s="19"/>
      <c r="O147" s="52" t="e">
        <f t="shared" si="21"/>
        <v>#N/A</v>
      </c>
      <c r="P147" s="52" t="e">
        <f t="shared" si="22"/>
        <v>#N/A</v>
      </c>
    </row>
    <row r="148" spans="3:16" ht="14.4" x14ac:dyDescent="0.3">
      <c r="C148" s="49" t="e">
        <f>VLOOKUP(B148,DAY!$C$2:$D$7,2,FALSE)</f>
        <v>#N/A</v>
      </c>
      <c r="D148" s="17"/>
      <c r="G148"/>
      <c r="H148"/>
      <c r="I148" s="52">
        <f t="shared" si="17"/>
        <v>1</v>
      </c>
      <c r="K148" s="52" t="str">
        <f t="shared" si="18"/>
        <v xml:space="preserve">-  </v>
      </c>
      <c r="L148" s="52" t="str">
        <f t="shared" si="19"/>
        <v xml:space="preserve"> --</v>
      </c>
      <c r="M148" s="52" t="str">
        <f t="shared" si="20"/>
        <v>- -</v>
      </c>
      <c r="N148" s="19"/>
      <c r="O148" s="52" t="e">
        <f t="shared" si="21"/>
        <v>#N/A</v>
      </c>
      <c r="P148" s="52" t="e">
        <f t="shared" si="22"/>
        <v>#N/A</v>
      </c>
    </row>
    <row r="149" spans="3:16" ht="14.4" x14ac:dyDescent="0.3">
      <c r="C149" s="49" t="e">
        <f>VLOOKUP(B149,DAY!$C$2:$D$7,2,FALSE)</f>
        <v>#N/A</v>
      </c>
      <c r="D149" s="17"/>
      <c r="G149"/>
      <c r="H149"/>
      <c r="I149" s="52">
        <f t="shared" si="17"/>
        <v>1</v>
      </c>
      <c r="K149" s="52" t="str">
        <f t="shared" si="18"/>
        <v xml:space="preserve">-  </v>
      </c>
      <c r="L149" s="52" t="str">
        <f t="shared" si="19"/>
        <v xml:space="preserve"> --</v>
      </c>
      <c r="M149" s="52" t="str">
        <f t="shared" si="20"/>
        <v>- -</v>
      </c>
      <c r="N149" s="19"/>
      <c r="O149" s="52" t="e">
        <f t="shared" si="21"/>
        <v>#N/A</v>
      </c>
      <c r="P149" s="52" t="e">
        <f t="shared" si="22"/>
        <v>#N/A</v>
      </c>
    </row>
    <row r="150" spans="3:16" ht="14.4" x14ac:dyDescent="0.3">
      <c r="C150" s="49" t="e">
        <f>VLOOKUP(B150,DAY!$C$2:$D$7,2,FALSE)</f>
        <v>#N/A</v>
      </c>
      <c r="D150" s="17"/>
      <c r="G150"/>
      <c r="H150"/>
      <c r="I150" s="52">
        <f t="shared" si="17"/>
        <v>1</v>
      </c>
      <c r="K150" s="52" t="str">
        <f t="shared" si="18"/>
        <v xml:space="preserve">-  </v>
      </c>
      <c r="L150" s="52" t="str">
        <f t="shared" si="19"/>
        <v xml:space="preserve"> --</v>
      </c>
      <c r="M150" s="52" t="str">
        <f t="shared" si="20"/>
        <v>- -</v>
      </c>
      <c r="N150" s="19"/>
      <c r="O150" s="52" t="e">
        <f t="shared" si="21"/>
        <v>#N/A</v>
      </c>
      <c r="P150" s="52" t="e">
        <f t="shared" si="22"/>
        <v>#N/A</v>
      </c>
    </row>
    <row r="151" spans="3:16" ht="14.4" x14ac:dyDescent="0.3">
      <c r="C151" s="49" t="e">
        <f>VLOOKUP(B151,DAY!$C$2:$D$7,2,FALSE)</f>
        <v>#N/A</v>
      </c>
      <c r="D151" s="17"/>
      <c r="G151"/>
      <c r="H151"/>
      <c r="I151" s="52">
        <f t="shared" si="17"/>
        <v>1</v>
      </c>
      <c r="K151" s="52" t="str">
        <f t="shared" si="18"/>
        <v xml:space="preserve">-  </v>
      </c>
      <c r="L151" s="52" t="str">
        <f t="shared" si="19"/>
        <v xml:space="preserve"> --</v>
      </c>
      <c r="M151" s="52" t="str">
        <f t="shared" si="20"/>
        <v>- -</v>
      </c>
      <c r="N151" s="19"/>
      <c r="O151" s="52" t="e">
        <f t="shared" si="21"/>
        <v>#N/A</v>
      </c>
      <c r="P151" s="52" t="e">
        <f t="shared" si="22"/>
        <v>#N/A</v>
      </c>
    </row>
    <row r="152" spans="3:16" ht="14.4" x14ac:dyDescent="0.3">
      <c r="C152" s="49" t="e">
        <f>VLOOKUP(B152,DAY!$C$2:$D$7,2,FALSE)</f>
        <v>#N/A</v>
      </c>
      <c r="D152" s="17"/>
      <c r="G152"/>
      <c r="H152"/>
      <c r="I152" s="52">
        <f t="shared" si="17"/>
        <v>1</v>
      </c>
      <c r="K152" s="52" t="str">
        <f t="shared" si="18"/>
        <v xml:space="preserve">-  </v>
      </c>
      <c r="L152" s="52" t="str">
        <f t="shared" si="19"/>
        <v xml:space="preserve"> --</v>
      </c>
      <c r="M152" s="52" t="str">
        <f t="shared" si="20"/>
        <v>- -</v>
      </c>
      <c r="N152" s="19"/>
      <c r="O152" s="52" t="e">
        <f t="shared" si="21"/>
        <v>#N/A</v>
      </c>
      <c r="P152" s="52" t="e">
        <f t="shared" si="22"/>
        <v>#N/A</v>
      </c>
    </row>
    <row r="153" spans="3:16" ht="14.4" x14ac:dyDescent="0.3">
      <c r="C153" s="49" t="e">
        <f>VLOOKUP(B153,DAY!$C$2:$D$7,2,FALSE)</f>
        <v>#N/A</v>
      </c>
      <c r="D153" s="17"/>
      <c r="G153"/>
      <c r="H153"/>
      <c r="I153" s="52">
        <f t="shared" si="17"/>
        <v>1</v>
      </c>
      <c r="K153" s="52" t="str">
        <f t="shared" si="18"/>
        <v xml:space="preserve">-  </v>
      </c>
      <c r="L153" s="52" t="str">
        <f t="shared" si="19"/>
        <v xml:space="preserve"> --</v>
      </c>
      <c r="M153" s="52" t="str">
        <f t="shared" si="20"/>
        <v>- -</v>
      </c>
      <c r="N153" s="19"/>
      <c r="O153" s="52" t="e">
        <f t="shared" si="21"/>
        <v>#N/A</v>
      </c>
      <c r="P153" s="52" t="e">
        <f t="shared" si="22"/>
        <v>#N/A</v>
      </c>
    </row>
    <row r="154" spans="3:16" ht="14.4" x14ac:dyDescent="0.3">
      <c r="C154" s="49" t="e">
        <f>VLOOKUP(B154,DAY!$C$2:$D$7,2,FALSE)</f>
        <v>#N/A</v>
      </c>
      <c r="D154" s="17"/>
      <c r="G154"/>
      <c r="H154"/>
      <c r="I154" s="52">
        <f t="shared" si="17"/>
        <v>1</v>
      </c>
      <c r="K154" s="52" t="str">
        <f t="shared" si="18"/>
        <v xml:space="preserve">-  </v>
      </c>
      <c r="L154" s="52" t="str">
        <f t="shared" si="19"/>
        <v xml:space="preserve"> --</v>
      </c>
      <c r="M154" s="52" t="str">
        <f t="shared" si="20"/>
        <v>- -</v>
      </c>
      <c r="N154" s="19"/>
      <c r="O154" s="52" t="e">
        <f t="shared" si="21"/>
        <v>#N/A</v>
      </c>
      <c r="P154" s="52" t="e">
        <f t="shared" si="22"/>
        <v>#N/A</v>
      </c>
    </row>
    <row r="155" spans="3:16" ht="14.4" x14ac:dyDescent="0.3">
      <c r="C155" s="49" t="e">
        <f>VLOOKUP(B155,DAY!$C$2:$D$7,2,FALSE)</f>
        <v>#N/A</v>
      </c>
      <c r="D155" s="17"/>
      <c r="G155"/>
      <c r="H155"/>
      <c r="I155" s="52">
        <f t="shared" si="17"/>
        <v>1</v>
      </c>
      <c r="K155" s="52" t="str">
        <f t="shared" si="18"/>
        <v xml:space="preserve">-  </v>
      </c>
      <c r="L155" s="52" t="str">
        <f t="shared" si="19"/>
        <v xml:space="preserve"> --</v>
      </c>
      <c r="M155" s="52" t="str">
        <f t="shared" si="20"/>
        <v>- -</v>
      </c>
      <c r="N155" s="19"/>
      <c r="O155" s="52" t="e">
        <f t="shared" si="21"/>
        <v>#N/A</v>
      </c>
      <c r="P155" s="52" t="e">
        <f t="shared" si="22"/>
        <v>#N/A</v>
      </c>
    </row>
    <row r="156" spans="3:16" ht="14.4" x14ac:dyDescent="0.3">
      <c r="C156" s="49" t="e">
        <f>VLOOKUP(B156,DAY!$C$2:$D$7,2,FALSE)</f>
        <v>#N/A</v>
      </c>
      <c r="D156" s="17"/>
      <c r="G156"/>
      <c r="H156"/>
      <c r="I156" s="52">
        <f t="shared" si="17"/>
        <v>1</v>
      </c>
      <c r="K156" s="52" t="str">
        <f t="shared" si="18"/>
        <v xml:space="preserve">-  </v>
      </c>
      <c r="L156" s="52" t="str">
        <f t="shared" si="19"/>
        <v xml:space="preserve"> --</v>
      </c>
      <c r="M156" s="52" t="str">
        <f t="shared" si="20"/>
        <v>- -</v>
      </c>
      <c r="N156" s="19"/>
      <c r="O156" s="52" t="e">
        <f t="shared" si="21"/>
        <v>#N/A</v>
      </c>
      <c r="P156" s="52" t="e">
        <f t="shared" si="22"/>
        <v>#N/A</v>
      </c>
    </row>
    <row r="157" spans="3:16" ht="14.4" x14ac:dyDescent="0.3">
      <c r="C157" s="49" t="e">
        <f>VLOOKUP(B157,DAY!$C$2:$D$7,2,FALSE)</f>
        <v>#N/A</v>
      </c>
      <c r="D157" s="17"/>
      <c r="G157"/>
      <c r="H157"/>
      <c r="I157" s="52">
        <f t="shared" si="17"/>
        <v>1</v>
      </c>
      <c r="K157" s="52" t="str">
        <f t="shared" si="18"/>
        <v xml:space="preserve">-  </v>
      </c>
      <c r="L157" s="52" t="str">
        <f t="shared" si="19"/>
        <v xml:space="preserve"> --</v>
      </c>
      <c r="M157" s="52" t="str">
        <f t="shared" si="20"/>
        <v>- -</v>
      </c>
      <c r="N157" s="19"/>
      <c r="O157" s="52" t="e">
        <f t="shared" si="21"/>
        <v>#N/A</v>
      </c>
      <c r="P157" s="52" t="e">
        <f t="shared" si="22"/>
        <v>#N/A</v>
      </c>
    </row>
    <row r="158" spans="3:16" ht="14.4" x14ac:dyDescent="0.3">
      <c r="C158" s="49" t="e">
        <f>VLOOKUP(B158,DAY!$C$2:$D$7,2,FALSE)</f>
        <v>#N/A</v>
      </c>
      <c r="D158" s="17"/>
      <c r="G158"/>
      <c r="H158"/>
      <c r="I158" s="52">
        <f t="shared" si="17"/>
        <v>1</v>
      </c>
      <c r="K158" s="52" t="str">
        <f t="shared" si="18"/>
        <v xml:space="preserve">-  </v>
      </c>
      <c r="L158" s="52" t="str">
        <f t="shared" si="19"/>
        <v xml:space="preserve"> --</v>
      </c>
      <c r="M158" s="52" t="str">
        <f t="shared" si="20"/>
        <v>- -</v>
      </c>
      <c r="N158" s="19"/>
      <c r="O158" s="52" t="e">
        <f t="shared" si="21"/>
        <v>#N/A</v>
      </c>
      <c r="P158" s="52" t="e">
        <f t="shared" si="22"/>
        <v>#N/A</v>
      </c>
    </row>
    <row r="159" spans="3:16" ht="14.4" x14ac:dyDescent="0.3">
      <c r="C159" s="49" t="e">
        <f>VLOOKUP(B159,DAY!$C$2:$D$7,2,FALSE)</f>
        <v>#N/A</v>
      </c>
      <c r="D159" s="17"/>
      <c r="G159"/>
      <c r="H159"/>
      <c r="I159" s="52">
        <f t="shared" si="17"/>
        <v>1</v>
      </c>
      <c r="K159" s="52" t="str">
        <f t="shared" si="18"/>
        <v xml:space="preserve">-  </v>
      </c>
      <c r="L159" s="52" t="str">
        <f t="shared" si="19"/>
        <v xml:space="preserve"> --</v>
      </c>
      <c r="M159" s="52" t="str">
        <f t="shared" si="20"/>
        <v>- -</v>
      </c>
      <c r="N159" s="19"/>
      <c r="O159" s="52" t="e">
        <f t="shared" si="21"/>
        <v>#N/A</v>
      </c>
      <c r="P159" s="52" t="e">
        <f t="shared" si="22"/>
        <v>#N/A</v>
      </c>
    </row>
    <row r="160" spans="3:16" ht="14.4" x14ac:dyDescent="0.3">
      <c r="C160" s="49" t="e">
        <f>VLOOKUP(B160,DAY!$C$2:$D$7,2,FALSE)</f>
        <v>#N/A</v>
      </c>
      <c r="D160" s="17"/>
      <c r="G160"/>
      <c r="H160"/>
      <c r="I160" s="52">
        <f t="shared" si="17"/>
        <v>1</v>
      </c>
      <c r="K160" s="52" t="str">
        <f t="shared" si="18"/>
        <v xml:space="preserve">-  </v>
      </c>
      <c r="L160" s="52" t="str">
        <f t="shared" si="19"/>
        <v xml:space="preserve"> --</v>
      </c>
      <c r="M160" s="52" t="str">
        <f t="shared" si="20"/>
        <v>- -</v>
      </c>
      <c r="N160" s="19"/>
      <c r="O160" s="52" t="e">
        <f t="shared" si="21"/>
        <v>#N/A</v>
      </c>
      <c r="P160" s="52" t="e">
        <f t="shared" si="22"/>
        <v>#N/A</v>
      </c>
    </row>
    <row r="161" spans="3:16" ht="14.4" x14ac:dyDescent="0.3">
      <c r="C161" s="49" t="e">
        <f>VLOOKUP(B161,DAY!$C$2:$D$7,2,FALSE)</f>
        <v>#N/A</v>
      </c>
      <c r="D161" s="17"/>
      <c r="G161"/>
      <c r="H161"/>
      <c r="I161" s="52">
        <f t="shared" si="17"/>
        <v>1</v>
      </c>
      <c r="K161" s="52" t="str">
        <f t="shared" si="18"/>
        <v xml:space="preserve">-  </v>
      </c>
      <c r="L161" s="52" t="str">
        <f t="shared" si="19"/>
        <v xml:space="preserve"> --</v>
      </c>
      <c r="M161" s="52" t="str">
        <f t="shared" si="20"/>
        <v>- -</v>
      </c>
      <c r="N161" s="19"/>
      <c r="O161" s="52" t="e">
        <f t="shared" si="21"/>
        <v>#N/A</v>
      </c>
      <c r="P161" s="52" t="e">
        <f t="shared" si="22"/>
        <v>#N/A</v>
      </c>
    </row>
    <row r="162" spans="3:16" ht="14.4" x14ac:dyDescent="0.3">
      <c r="C162" s="49" t="e">
        <f>VLOOKUP(B162,DAY!$C$2:$D$7,2,FALSE)</f>
        <v>#N/A</v>
      </c>
      <c r="D162" s="17"/>
      <c r="G162"/>
      <c r="H162"/>
      <c r="I162" s="52">
        <f t="shared" si="17"/>
        <v>1</v>
      </c>
      <c r="K162" s="52" t="str">
        <f t="shared" si="18"/>
        <v xml:space="preserve">-  </v>
      </c>
      <c r="L162" s="52" t="str">
        <f t="shared" si="19"/>
        <v xml:space="preserve"> --</v>
      </c>
      <c r="M162" s="52" t="str">
        <f t="shared" si="20"/>
        <v>- -</v>
      </c>
      <c r="N162" s="19"/>
      <c r="O162" s="52" t="e">
        <f t="shared" si="21"/>
        <v>#N/A</v>
      </c>
      <c r="P162" s="52" t="e">
        <f t="shared" si="22"/>
        <v>#N/A</v>
      </c>
    </row>
    <row r="163" spans="3:16" ht="14.4" x14ac:dyDescent="0.3">
      <c r="C163" s="49" t="e">
        <f>VLOOKUP(B163,DAY!$C$2:$D$7,2,FALSE)</f>
        <v>#N/A</v>
      </c>
      <c r="D163" s="17"/>
      <c r="G163"/>
      <c r="H163"/>
      <c r="I163" s="52">
        <f t="shared" si="17"/>
        <v>1</v>
      </c>
      <c r="K163" s="52" t="str">
        <f t="shared" si="18"/>
        <v xml:space="preserve">-  </v>
      </c>
      <c r="L163" s="52" t="str">
        <f t="shared" si="19"/>
        <v xml:space="preserve"> --</v>
      </c>
      <c r="M163" s="52" t="str">
        <f t="shared" si="20"/>
        <v>- -</v>
      </c>
      <c r="N163" s="19"/>
      <c r="O163" s="52" t="e">
        <f t="shared" si="21"/>
        <v>#N/A</v>
      </c>
      <c r="P163" s="52" t="e">
        <f t="shared" si="22"/>
        <v>#N/A</v>
      </c>
    </row>
    <row r="164" spans="3:16" ht="14.4" x14ac:dyDescent="0.3">
      <c r="C164" s="49" t="e">
        <f>VLOOKUP(B164,DAY!$C$2:$D$7,2,FALSE)</f>
        <v>#N/A</v>
      </c>
      <c r="D164" s="17"/>
      <c r="G164"/>
      <c r="H164"/>
      <c r="I164" s="52">
        <f t="shared" si="17"/>
        <v>1</v>
      </c>
      <c r="K164" s="52" t="str">
        <f t="shared" si="18"/>
        <v xml:space="preserve">-  </v>
      </c>
      <c r="L164" s="52" t="str">
        <f t="shared" si="19"/>
        <v xml:space="preserve"> --</v>
      </c>
      <c r="M164" s="52" t="str">
        <f t="shared" si="20"/>
        <v>- -</v>
      </c>
      <c r="N164" s="19"/>
      <c r="O164" s="52" t="e">
        <f t="shared" si="21"/>
        <v>#N/A</v>
      </c>
      <c r="P164" s="52" t="e">
        <f t="shared" si="22"/>
        <v>#N/A</v>
      </c>
    </row>
    <row r="165" spans="3:16" ht="14.4" x14ac:dyDescent="0.3">
      <c r="C165" s="49" t="e">
        <f>VLOOKUP(B165,DAY!$C$2:$D$7,2,FALSE)</f>
        <v>#N/A</v>
      </c>
      <c r="D165" s="17"/>
      <c r="G165"/>
      <c r="H165"/>
      <c r="I165" s="52">
        <f t="shared" si="17"/>
        <v>1</v>
      </c>
      <c r="K165" s="52" t="str">
        <f t="shared" si="18"/>
        <v xml:space="preserve">-  </v>
      </c>
      <c r="L165" s="52" t="str">
        <f t="shared" si="19"/>
        <v xml:space="preserve"> --</v>
      </c>
      <c r="M165" s="52" t="str">
        <f t="shared" si="20"/>
        <v>- -</v>
      </c>
      <c r="N165" s="19"/>
      <c r="O165" s="52" t="e">
        <f t="shared" si="21"/>
        <v>#N/A</v>
      </c>
      <c r="P165" s="52" t="e">
        <f t="shared" si="22"/>
        <v>#N/A</v>
      </c>
    </row>
    <row r="166" spans="3:16" ht="14.4" x14ac:dyDescent="0.3">
      <c r="C166" s="49" t="e">
        <f>VLOOKUP(B166,DAY!$C$2:$D$7,2,FALSE)</f>
        <v>#N/A</v>
      </c>
      <c r="D166" s="17"/>
      <c r="G166"/>
      <c r="H166"/>
      <c r="I166" s="52">
        <f t="shared" si="17"/>
        <v>1</v>
      </c>
      <c r="K166" s="52" t="str">
        <f t="shared" si="18"/>
        <v xml:space="preserve">-  </v>
      </c>
      <c r="L166" s="52" t="str">
        <f t="shared" si="19"/>
        <v xml:space="preserve"> --</v>
      </c>
      <c r="M166" s="52" t="str">
        <f t="shared" si="20"/>
        <v>- -</v>
      </c>
      <c r="N166" s="19"/>
      <c r="O166" s="52" t="e">
        <f t="shared" si="21"/>
        <v>#N/A</v>
      </c>
      <c r="P166" s="52" t="e">
        <f t="shared" si="22"/>
        <v>#N/A</v>
      </c>
    </row>
    <row r="167" spans="3:16" ht="14.4" x14ac:dyDescent="0.3">
      <c r="C167" s="49" t="e">
        <f>VLOOKUP(B167,DAY!$C$2:$D$7,2,FALSE)</f>
        <v>#N/A</v>
      </c>
      <c r="D167" s="17"/>
      <c r="G167"/>
      <c r="H167"/>
      <c r="I167" s="52">
        <f t="shared" si="17"/>
        <v>1</v>
      </c>
      <c r="K167" s="52" t="str">
        <f t="shared" si="18"/>
        <v xml:space="preserve">-  </v>
      </c>
      <c r="L167" s="52" t="str">
        <f t="shared" si="19"/>
        <v xml:space="preserve"> --</v>
      </c>
      <c r="M167" s="52" t="str">
        <f t="shared" si="20"/>
        <v>- -</v>
      </c>
      <c r="N167" s="19"/>
      <c r="O167" s="52" t="e">
        <f t="shared" si="21"/>
        <v>#N/A</v>
      </c>
      <c r="P167" s="52" t="e">
        <f t="shared" si="22"/>
        <v>#N/A</v>
      </c>
    </row>
    <row r="168" spans="3:16" ht="14.4" x14ac:dyDescent="0.3">
      <c r="C168" s="49" t="e">
        <f>VLOOKUP(B168,DAY!$C$2:$D$7,2,FALSE)</f>
        <v>#N/A</v>
      </c>
      <c r="D168" s="17"/>
      <c r="G168"/>
      <c r="H168"/>
      <c r="I168" s="52">
        <f t="shared" si="17"/>
        <v>1</v>
      </c>
      <c r="K168" s="52" t="str">
        <f t="shared" si="18"/>
        <v xml:space="preserve">-  </v>
      </c>
      <c r="L168" s="52" t="str">
        <f t="shared" si="19"/>
        <v xml:space="preserve"> --</v>
      </c>
      <c r="M168" s="52" t="str">
        <f t="shared" si="20"/>
        <v>- -</v>
      </c>
      <c r="N168" s="19"/>
      <c r="O168" s="52" t="e">
        <f t="shared" si="21"/>
        <v>#N/A</v>
      </c>
      <c r="P168" s="52" t="e">
        <f t="shared" si="22"/>
        <v>#N/A</v>
      </c>
    </row>
    <row r="169" spans="3:16" ht="14.4" x14ac:dyDescent="0.3">
      <c r="C169" s="49" t="e">
        <f>VLOOKUP(B169,DAY!$C$2:$D$7,2,FALSE)</f>
        <v>#N/A</v>
      </c>
      <c r="D169" s="17"/>
      <c r="G169"/>
      <c r="H169"/>
      <c r="I169" s="52">
        <f t="shared" si="17"/>
        <v>1</v>
      </c>
      <c r="K169" s="52" t="str">
        <f t="shared" si="18"/>
        <v xml:space="preserve">-  </v>
      </c>
      <c r="L169" s="52" t="str">
        <f t="shared" si="19"/>
        <v xml:space="preserve"> --</v>
      </c>
      <c r="M169" s="52" t="str">
        <f t="shared" si="20"/>
        <v>- -</v>
      </c>
      <c r="N169" s="19"/>
      <c r="O169" s="52" t="e">
        <f t="shared" si="21"/>
        <v>#N/A</v>
      </c>
      <c r="P169" s="52" t="e">
        <f t="shared" si="22"/>
        <v>#N/A</v>
      </c>
    </row>
    <row r="170" spans="3:16" ht="14.4" x14ac:dyDescent="0.3">
      <c r="C170" s="49" t="e">
        <f>VLOOKUP(B170,DAY!$C$2:$D$7,2,FALSE)</f>
        <v>#N/A</v>
      </c>
      <c r="D170" s="17"/>
      <c r="G170"/>
      <c r="H170"/>
      <c r="I170" s="52">
        <f t="shared" si="17"/>
        <v>1</v>
      </c>
      <c r="K170" s="52" t="str">
        <f t="shared" si="18"/>
        <v xml:space="preserve">-  </v>
      </c>
      <c r="L170" s="52" t="str">
        <f t="shared" si="19"/>
        <v xml:space="preserve"> --</v>
      </c>
      <c r="M170" s="52" t="str">
        <f t="shared" si="20"/>
        <v>- -</v>
      </c>
      <c r="N170" s="19"/>
      <c r="O170" s="52" t="e">
        <f t="shared" si="21"/>
        <v>#N/A</v>
      </c>
      <c r="P170" s="52" t="e">
        <f t="shared" si="22"/>
        <v>#N/A</v>
      </c>
    </row>
    <row r="171" spans="3:16" ht="14.4" x14ac:dyDescent="0.3">
      <c r="C171" s="49" t="e">
        <f>VLOOKUP(B171,DAY!$C$2:$D$7,2,FALSE)</f>
        <v>#N/A</v>
      </c>
      <c r="D171" s="17"/>
      <c r="G171"/>
      <c r="H171"/>
      <c r="I171" s="52">
        <f t="shared" si="17"/>
        <v>1</v>
      </c>
      <c r="K171" s="52" t="str">
        <f t="shared" si="18"/>
        <v xml:space="preserve">-  </v>
      </c>
      <c r="L171" s="52" t="str">
        <f t="shared" si="19"/>
        <v xml:space="preserve"> --</v>
      </c>
      <c r="M171" s="52" t="str">
        <f t="shared" si="20"/>
        <v>- -</v>
      </c>
      <c r="N171" s="19"/>
      <c r="O171" s="52" t="e">
        <f t="shared" si="21"/>
        <v>#N/A</v>
      </c>
      <c r="P171" s="52" t="e">
        <f t="shared" si="22"/>
        <v>#N/A</v>
      </c>
    </row>
    <row r="172" spans="3:16" ht="14.4" x14ac:dyDescent="0.3">
      <c r="C172" s="49" t="e">
        <f>VLOOKUP(B172,DAY!$C$2:$D$7,2,FALSE)</f>
        <v>#N/A</v>
      </c>
      <c r="D172" s="17"/>
      <c r="G172"/>
      <c r="H172"/>
      <c r="I172" s="52">
        <f t="shared" si="17"/>
        <v>1</v>
      </c>
      <c r="K172" s="52" t="str">
        <f t="shared" si="18"/>
        <v xml:space="preserve">-  </v>
      </c>
      <c r="L172" s="52" t="str">
        <f t="shared" si="19"/>
        <v xml:space="preserve"> --</v>
      </c>
      <c r="M172" s="52" t="str">
        <f t="shared" si="20"/>
        <v>- -</v>
      </c>
      <c r="N172" s="19"/>
      <c r="O172" s="52" t="e">
        <f t="shared" si="21"/>
        <v>#N/A</v>
      </c>
      <c r="P172" s="52" t="e">
        <f t="shared" si="22"/>
        <v>#N/A</v>
      </c>
    </row>
    <row r="173" spans="3:16" ht="14.4" x14ac:dyDescent="0.3">
      <c r="C173" s="49" t="e">
        <f>VLOOKUP(B173,DAY!$C$2:$D$7,2,FALSE)</f>
        <v>#N/A</v>
      </c>
      <c r="D173" s="17"/>
      <c r="G173"/>
      <c r="H173"/>
      <c r="I173" s="52">
        <f t="shared" si="17"/>
        <v>1</v>
      </c>
      <c r="K173" s="52" t="str">
        <f t="shared" si="18"/>
        <v xml:space="preserve">-  </v>
      </c>
      <c r="L173" s="52" t="str">
        <f t="shared" si="19"/>
        <v xml:space="preserve"> --</v>
      </c>
      <c r="M173" s="52" t="str">
        <f t="shared" si="20"/>
        <v>- -</v>
      </c>
      <c r="N173" s="19"/>
      <c r="O173" s="52" t="e">
        <f t="shared" si="21"/>
        <v>#N/A</v>
      </c>
      <c r="P173" s="52" t="e">
        <f t="shared" si="22"/>
        <v>#N/A</v>
      </c>
    </row>
    <row r="174" spans="3:16" ht="14.4" x14ac:dyDescent="0.3">
      <c r="C174" s="49" t="e">
        <f>VLOOKUP(B174,DAY!$C$2:$D$7,2,FALSE)</f>
        <v>#N/A</v>
      </c>
      <c r="D174" s="17"/>
      <c r="G174"/>
      <c r="H174"/>
      <c r="I174" s="52">
        <f t="shared" si="17"/>
        <v>1</v>
      </c>
      <c r="K174" s="52" t="str">
        <f t="shared" si="18"/>
        <v xml:space="preserve">-  </v>
      </c>
      <c r="L174" s="52" t="str">
        <f t="shared" si="19"/>
        <v xml:space="preserve"> --</v>
      </c>
      <c r="M174" s="52" t="str">
        <f t="shared" si="20"/>
        <v>- -</v>
      </c>
      <c r="N174" s="19"/>
      <c r="O174" s="52" t="e">
        <f t="shared" si="21"/>
        <v>#N/A</v>
      </c>
      <c r="P174" s="52" t="e">
        <f t="shared" si="22"/>
        <v>#N/A</v>
      </c>
    </row>
    <row r="175" spans="3:16" ht="14.4" x14ac:dyDescent="0.3">
      <c r="C175" s="49" t="e">
        <f>VLOOKUP(B175,DAY!$C$2:$D$7,2,FALSE)</f>
        <v>#N/A</v>
      </c>
      <c r="D175" s="17"/>
      <c r="G175"/>
      <c r="H175"/>
      <c r="I175" s="52">
        <f t="shared" si="17"/>
        <v>1</v>
      </c>
      <c r="K175" s="52" t="str">
        <f t="shared" si="18"/>
        <v xml:space="preserve">-  </v>
      </c>
      <c r="L175" s="52" t="str">
        <f t="shared" si="19"/>
        <v xml:space="preserve"> --</v>
      </c>
      <c r="M175" s="52" t="str">
        <f t="shared" si="20"/>
        <v>- -</v>
      </c>
      <c r="N175" s="19"/>
      <c r="O175" s="52" t="e">
        <f t="shared" si="21"/>
        <v>#N/A</v>
      </c>
      <c r="P175" s="52" t="e">
        <f t="shared" si="22"/>
        <v>#N/A</v>
      </c>
    </row>
    <row r="176" spans="3:16" ht="14.4" x14ac:dyDescent="0.3">
      <c r="C176" s="49" t="e">
        <f>VLOOKUP(B176,DAY!$C$2:$D$7,2,FALSE)</f>
        <v>#N/A</v>
      </c>
      <c r="D176" s="17"/>
      <c r="G176"/>
      <c r="H176"/>
      <c r="I176" s="52">
        <f t="shared" si="17"/>
        <v>1</v>
      </c>
      <c r="K176" s="52" t="str">
        <f t="shared" si="18"/>
        <v xml:space="preserve">-  </v>
      </c>
      <c r="L176" s="52" t="str">
        <f t="shared" si="19"/>
        <v xml:space="preserve"> --</v>
      </c>
      <c r="M176" s="52" t="str">
        <f t="shared" si="20"/>
        <v>- -</v>
      </c>
      <c r="N176" s="19"/>
      <c r="O176" s="52" t="e">
        <f t="shared" si="21"/>
        <v>#N/A</v>
      </c>
      <c r="P176" s="52" t="e">
        <f t="shared" si="22"/>
        <v>#N/A</v>
      </c>
    </row>
    <row r="177" spans="3:16" ht="14.4" x14ac:dyDescent="0.3">
      <c r="C177" s="49" t="e">
        <f>VLOOKUP(B177,DAY!$C$2:$D$7,2,FALSE)</f>
        <v>#N/A</v>
      </c>
      <c r="D177" s="17"/>
      <c r="G177"/>
      <c r="H177"/>
      <c r="I177" s="52">
        <f t="shared" si="17"/>
        <v>1</v>
      </c>
      <c r="K177" s="52" t="str">
        <f t="shared" si="18"/>
        <v xml:space="preserve">-  </v>
      </c>
      <c r="L177" s="52" t="str">
        <f t="shared" si="19"/>
        <v xml:space="preserve"> --</v>
      </c>
      <c r="M177" s="52" t="str">
        <f t="shared" si="20"/>
        <v>- -</v>
      </c>
      <c r="N177" s="19"/>
      <c r="O177" s="52" t="e">
        <f t="shared" si="21"/>
        <v>#N/A</v>
      </c>
      <c r="P177" s="52" t="e">
        <f t="shared" si="22"/>
        <v>#N/A</v>
      </c>
    </row>
    <row r="178" spans="3:16" ht="14.4" x14ac:dyDescent="0.3">
      <c r="C178" s="49" t="e">
        <f>VLOOKUP(B178,DAY!$C$2:$D$7,2,FALSE)</f>
        <v>#N/A</v>
      </c>
      <c r="D178" s="17"/>
      <c r="G178"/>
      <c r="H178"/>
      <c r="I178" s="52">
        <f t="shared" si="17"/>
        <v>1</v>
      </c>
      <c r="K178" s="52" t="str">
        <f t="shared" si="18"/>
        <v xml:space="preserve">-  </v>
      </c>
      <c r="L178" s="52" t="str">
        <f t="shared" si="19"/>
        <v xml:space="preserve"> --</v>
      </c>
      <c r="M178" s="52" t="str">
        <f t="shared" si="20"/>
        <v>- -</v>
      </c>
      <c r="N178" s="19"/>
      <c r="O178" s="52" t="e">
        <f t="shared" si="21"/>
        <v>#N/A</v>
      </c>
      <c r="P178" s="52" t="e">
        <f t="shared" si="22"/>
        <v>#N/A</v>
      </c>
    </row>
    <row r="179" spans="3:16" ht="14.4" x14ac:dyDescent="0.3">
      <c r="C179" s="49" t="e">
        <f>VLOOKUP(B179,DAY!$C$2:$D$7,2,FALSE)</f>
        <v>#N/A</v>
      </c>
      <c r="D179" s="17"/>
      <c r="G179"/>
      <c r="H179"/>
      <c r="I179" s="52">
        <f t="shared" si="17"/>
        <v>1</v>
      </c>
      <c r="K179" s="52" t="str">
        <f t="shared" si="18"/>
        <v xml:space="preserve">-  </v>
      </c>
      <c r="L179" s="52" t="str">
        <f t="shared" si="19"/>
        <v xml:space="preserve"> --</v>
      </c>
      <c r="M179" s="52" t="str">
        <f t="shared" si="20"/>
        <v>- -</v>
      </c>
      <c r="N179" s="19"/>
      <c r="O179" s="52" t="e">
        <f t="shared" si="21"/>
        <v>#N/A</v>
      </c>
      <c r="P179" s="52" t="e">
        <f t="shared" si="22"/>
        <v>#N/A</v>
      </c>
    </row>
    <row r="180" spans="3:16" ht="14.4" x14ac:dyDescent="0.3">
      <c r="C180" s="49" t="e">
        <f>VLOOKUP(B180,DAY!$C$2:$D$7,2,FALSE)</f>
        <v>#N/A</v>
      </c>
      <c r="D180" s="17"/>
      <c r="G180"/>
      <c r="H180"/>
      <c r="I180" s="52">
        <f t="shared" si="17"/>
        <v>1</v>
      </c>
      <c r="K180" s="52" t="str">
        <f t="shared" si="18"/>
        <v xml:space="preserve">-  </v>
      </c>
      <c r="L180" s="52" t="str">
        <f t="shared" si="19"/>
        <v xml:space="preserve"> --</v>
      </c>
      <c r="M180" s="52" t="str">
        <f t="shared" si="20"/>
        <v>- -</v>
      </c>
      <c r="N180" s="19"/>
      <c r="O180" s="52" t="e">
        <f t="shared" si="21"/>
        <v>#N/A</v>
      </c>
      <c r="P180" s="52" t="e">
        <f t="shared" si="22"/>
        <v>#N/A</v>
      </c>
    </row>
    <row r="181" spans="3:16" ht="14.4" x14ac:dyDescent="0.3">
      <c r="C181" s="49" t="e">
        <f>VLOOKUP(B181,DAY!$C$2:$D$7,2,FALSE)</f>
        <v>#N/A</v>
      </c>
      <c r="D181" s="17"/>
      <c r="G181"/>
      <c r="H181"/>
      <c r="I181" s="52">
        <f t="shared" si="17"/>
        <v>1</v>
      </c>
      <c r="K181" s="52" t="str">
        <f t="shared" si="18"/>
        <v xml:space="preserve">-  </v>
      </c>
      <c r="L181" s="52" t="str">
        <f t="shared" si="19"/>
        <v xml:space="preserve"> --</v>
      </c>
      <c r="M181" s="52" t="str">
        <f t="shared" si="20"/>
        <v>- -</v>
      </c>
      <c r="N181" s="19"/>
      <c r="O181" s="52" t="e">
        <f t="shared" si="21"/>
        <v>#N/A</v>
      </c>
      <c r="P181" s="52" t="e">
        <f t="shared" si="22"/>
        <v>#N/A</v>
      </c>
    </row>
    <row r="182" spans="3:16" ht="14.4" x14ac:dyDescent="0.3">
      <c r="C182" s="49" t="e">
        <f>VLOOKUP(B182,DAY!$C$2:$D$7,2,FALSE)</f>
        <v>#N/A</v>
      </c>
      <c r="D182" s="17"/>
      <c r="G182"/>
      <c r="H182"/>
      <c r="I182" s="52">
        <f t="shared" si="17"/>
        <v>1</v>
      </c>
      <c r="K182" s="52" t="str">
        <f t="shared" si="18"/>
        <v xml:space="preserve">-  </v>
      </c>
      <c r="L182" s="52" t="str">
        <f t="shared" si="19"/>
        <v xml:space="preserve"> --</v>
      </c>
      <c r="M182" s="52" t="str">
        <f t="shared" si="20"/>
        <v>- -</v>
      </c>
      <c r="N182" s="19"/>
      <c r="O182" s="52" t="e">
        <f t="shared" si="21"/>
        <v>#N/A</v>
      </c>
      <c r="P182" s="52" t="e">
        <f t="shared" si="22"/>
        <v>#N/A</v>
      </c>
    </row>
    <row r="183" spans="3:16" ht="14.4" x14ac:dyDescent="0.3">
      <c r="C183" s="49" t="e">
        <f>VLOOKUP(B183,DAY!$C$2:$D$7,2,FALSE)</f>
        <v>#N/A</v>
      </c>
      <c r="D183" s="17"/>
      <c r="G183"/>
      <c r="H183"/>
      <c r="I183" s="52">
        <f t="shared" si="17"/>
        <v>1</v>
      </c>
      <c r="K183" s="52" t="str">
        <f t="shared" si="18"/>
        <v xml:space="preserve">-  </v>
      </c>
      <c r="L183" s="52" t="str">
        <f t="shared" si="19"/>
        <v xml:space="preserve"> --</v>
      </c>
      <c r="M183" s="52" t="str">
        <f t="shared" si="20"/>
        <v>- -</v>
      </c>
      <c r="N183" s="19"/>
      <c r="O183" s="52" t="e">
        <f t="shared" si="21"/>
        <v>#N/A</v>
      </c>
      <c r="P183" s="52" t="e">
        <f t="shared" si="22"/>
        <v>#N/A</v>
      </c>
    </row>
    <row r="184" spans="3:16" ht="14.4" x14ac:dyDescent="0.3">
      <c r="C184" s="49" t="e">
        <f>VLOOKUP(B184,DAY!$C$2:$D$7,2,FALSE)</f>
        <v>#N/A</v>
      </c>
      <c r="D184" s="17"/>
      <c r="G184"/>
      <c r="H184"/>
      <c r="I184" s="52">
        <f t="shared" si="17"/>
        <v>1</v>
      </c>
      <c r="K184" s="52" t="str">
        <f t="shared" si="18"/>
        <v xml:space="preserve">-  </v>
      </c>
      <c r="L184" s="52" t="str">
        <f t="shared" si="19"/>
        <v xml:space="preserve"> --</v>
      </c>
      <c r="M184" s="52" t="str">
        <f t="shared" si="20"/>
        <v>- -</v>
      </c>
      <c r="N184" s="19"/>
      <c r="O184" s="52" t="e">
        <f t="shared" si="21"/>
        <v>#N/A</v>
      </c>
      <c r="P184" s="52" t="e">
        <f t="shared" si="22"/>
        <v>#N/A</v>
      </c>
    </row>
    <row r="185" spans="3:16" ht="14.4" x14ac:dyDescent="0.3">
      <c r="C185" s="49" t="e">
        <f>VLOOKUP(B185,DAY!$C$2:$D$7,2,FALSE)</f>
        <v>#N/A</v>
      </c>
      <c r="D185" s="17"/>
      <c r="G185"/>
      <c r="H185"/>
      <c r="I185" s="52">
        <f t="shared" si="17"/>
        <v>1</v>
      </c>
      <c r="K185" s="52" t="str">
        <f t="shared" si="18"/>
        <v xml:space="preserve">-  </v>
      </c>
      <c r="L185" s="52" t="str">
        <f t="shared" si="19"/>
        <v xml:space="preserve"> --</v>
      </c>
      <c r="M185" s="52" t="str">
        <f t="shared" si="20"/>
        <v>- -</v>
      </c>
      <c r="N185" s="19"/>
      <c r="O185" s="52" t="e">
        <f t="shared" si="21"/>
        <v>#N/A</v>
      </c>
      <c r="P185" s="52" t="e">
        <f t="shared" si="22"/>
        <v>#N/A</v>
      </c>
    </row>
    <row r="186" spans="3:16" ht="14.4" x14ac:dyDescent="0.3">
      <c r="C186" s="49" t="e">
        <f>VLOOKUP(B186,DAY!$C$2:$D$7,2,FALSE)</f>
        <v>#N/A</v>
      </c>
      <c r="D186" s="17"/>
      <c r="G186"/>
      <c r="H186"/>
      <c r="I186" s="52">
        <f t="shared" si="17"/>
        <v>1</v>
      </c>
      <c r="K186" s="52" t="str">
        <f t="shared" si="18"/>
        <v xml:space="preserve">-  </v>
      </c>
      <c r="L186" s="52" t="str">
        <f t="shared" si="19"/>
        <v xml:space="preserve"> --</v>
      </c>
      <c r="M186" s="52" t="str">
        <f t="shared" si="20"/>
        <v>- -</v>
      </c>
      <c r="N186" s="19"/>
      <c r="O186" s="52" t="e">
        <f t="shared" si="21"/>
        <v>#N/A</v>
      </c>
      <c r="P186" s="52" t="e">
        <f t="shared" si="22"/>
        <v>#N/A</v>
      </c>
    </row>
    <row r="187" spans="3:16" ht="14.4" x14ac:dyDescent="0.3">
      <c r="C187" s="49" t="e">
        <f>VLOOKUP(B187,DAY!$C$2:$D$7,2,FALSE)</f>
        <v>#N/A</v>
      </c>
      <c r="D187" s="17"/>
      <c r="G187"/>
      <c r="H187"/>
      <c r="I187" s="52">
        <f t="shared" si="17"/>
        <v>1</v>
      </c>
      <c r="K187" s="52" t="str">
        <f t="shared" si="18"/>
        <v xml:space="preserve">-  </v>
      </c>
      <c r="L187" s="52" t="str">
        <f t="shared" si="19"/>
        <v xml:space="preserve"> --</v>
      </c>
      <c r="M187" s="52" t="str">
        <f t="shared" si="20"/>
        <v>- -</v>
      </c>
      <c r="N187" s="19"/>
      <c r="O187" s="52" t="e">
        <f t="shared" si="21"/>
        <v>#N/A</v>
      </c>
      <c r="P187" s="52" t="e">
        <f t="shared" si="22"/>
        <v>#N/A</v>
      </c>
    </row>
    <row r="188" spans="3:16" ht="14.4" x14ac:dyDescent="0.3">
      <c r="C188" s="49" t="e">
        <f>VLOOKUP(B188,DAY!$C$2:$D$7,2,FALSE)</f>
        <v>#N/A</v>
      </c>
      <c r="D188" s="17"/>
      <c r="G188"/>
      <c r="H188"/>
      <c r="I188" s="52">
        <f t="shared" si="17"/>
        <v>1</v>
      </c>
      <c r="K188" s="52" t="str">
        <f t="shared" si="18"/>
        <v xml:space="preserve">-  </v>
      </c>
      <c r="L188" s="52" t="str">
        <f t="shared" si="19"/>
        <v xml:space="preserve"> --</v>
      </c>
      <c r="M188" s="52" t="str">
        <f t="shared" si="20"/>
        <v>- -</v>
      </c>
      <c r="N188" s="19"/>
      <c r="O188" s="52" t="e">
        <f t="shared" si="21"/>
        <v>#N/A</v>
      </c>
      <c r="P188" s="52" t="e">
        <f t="shared" si="22"/>
        <v>#N/A</v>
      </c>
    </row>
    <row r="189" spans="3:16" ht="14.4" x14ac:dyDescent="0.3">
      <c r="C189" s="49" t="e">
        <f>VLOOKUP(B189,DAY!$C$2:$D$7,2,FALSE)</f>
        <v>#N/A</v>
      </c>
      <c r="D189" s="17"/>
      <c r="G189"/>
      <c r="H189"/>
      <c r="I189" s="52">
        <f t="shared" si="17"/>
        <v>1</v>
      </c>
      <c r="K189" s="52" t="str">
        <f t="shared" si="18"/>
        <v xml:space="preserve">-  </v>
      </c>
      <c r="L189" s="52" t="str">
        <f t="shared" si="19"/>
        <v xml:space="preserve"> --</v>
      </c>
      <c r="M189" s="52" t="str">
        <f t="shared" si="20"/>
        <v>- -</v>
      </c>
      <c r="N189" s="19"/>
      <c r="O189" s="52" t="e">
        <f t="shared" si="21"/>
        <v>#N/A</v>
      </c>
      <c r="P189" s="52" t="e">
        <f t="shared" si="22"/>
        <v>#N/A</v>
      </c>
    </row>
    <row r="190" spans="3:16" ht="14.4" x14ac:dyDescent="0.3">
      <c r="C190" s="49" t="e">
        <f>VLOOKUP(B190,DAY!$C$2:$D$7,2,FALSE)</f>
        <v>#N/A</v>
      </c>
      <c r="D190" s="17"/>
      <c r="G190"/>
      <c r="H190"/>
      <c r="I190" s="52">
        <f t="shared" si="17"/>
        <v>1</v>
      </c>
      <c r="K190" s="52" t="str">
        <f t="shared" si="18"/>
        <v xml:space="preserve">-  </v>
      </c>
      <c r="L190" s="52" t="str">
        <f t="shared" si="19"/>
        <v xml:space="preserve"> --</v>
      </c>
      <c r="M190" s="52" t="str">
        <f t="shared" si="20"/>
        <v>- -</v>
      </c>
      <c r="N190" s="19"/>
      <c r="O190" s="52" t="e">
        <f t="shared" si="21"/>
        <v>#N/A</v>
      </c>
      <c r="P190" s="52" t="e">
        <f t="shared" si="22"/>
        <v>#N/A</v>
      </c>
    </row>
    <row r="191" spans="3:16" ht="14.4" x14ac:dyDescent="0.3">
      <c r="C191" s="49" t="e">
        <f>VLOOKUP(B191,DAY!$C$2:$D$7,2,FALSE)</f>
        <v>#N/A</v>
      </c>
      <c r="D191" s="17"/>
      <c r="G191"/>
      <c r="H191"/>
      <c r="I191" s="52">
        <f t="shared" si="17"/>
        <v>1</v>
      </c>
      <c r="K191" s="52" t="str">
        <f t="shared" si="18"/>
        <v xml:space="preserve">-  </v>
      </c>
      <c r="L191" s="52" t="str">
        <f t="shared" si="19"/>
        <v xml:space="preserve"> --</v>
      </c>
      <c r="M191" s="52" t="str">
        <f t="shared" si="20"/>
        <v>- -</v>
      </c>
      <c r="N191" s="19"/>
      <c r="O191" s="52" t="e">
        <f t="shared" si="21"/>
        <v>#N/A</v>
      </c>
      <c r="P191" s="52" t="e">
        <f t="shared" si="22"/>
        <v>#N/A</v>
      </c>
    </row>
    <row r="192" spans="3:16" ht="14.4" x14ac:dyDescent="0.3">
      <c r="C192" s="49" t="e">
        <f>VLOOKUP(B192,DAY!$C$2:$D$7,2,FALSE)</f>
        <v>#N/A</v>
      </c>
      <c r="D192" s="17"/>
      <c r="G192"/>
      <c r="H192"/>
      <c r="I192" s="52">
        <f t="shared" si="17"/>
        <v>1</v>
      </c>
      <c r="K192" s="52" t="str">
        <f t="shared" si="18"/>
        <v xml:space="preserve">-  </v>
      </c>
      <c r="L192" s="52" t="str">
        <f t="shared" si="19"/>
        <v xml:space="preserve"> --</v>
      </c>
      <c r="M192" s="52" t="str">
        <f t="shared" si="20"/>
        <v>- -</v>
      </c>
      <c r="N192" s="19"/>
      <c r="O192" s="52" t="e">
        <f t="shared" si="21"/>
        <v>#N/A</v>
      </c>
      <c r="P192" s="52" t="e">
        <f t="shared" si="22"/>
        <v>#N/A</v>
      </c>
    </row>
    <row r="193" spans="3:16" ht="14.4" x14ac:dyDescent="0.3">
      <c r="C193" s="49" t="e">
        <f>VLOOKUP(B193,DAY!$C$2:$D$7,2,FALSE)</f>
        <v>#N/A</v>
      </c>
      <c r="D193" s="17"/>
      <c r="G193"/>
      <c r="H193"/>
      <c r="I193" s="52">
        <f t="shared" si="17"/>
        <v>1</v>
      </c>
      <c r="K193" s="52" t="str">
        <f t="shared" si="18"/>
        <v xml:space="preserve">-  </v>
      </c>
      <c r="L193" s="52" t="str">
        <f t="shared" si="19"/>
        <v xml:space="preserve"> --</v>
      </c>
      <c r="M193" s="52" t="str">
        <f t="shared" si="20"/>
        <v>- -</v>
      </c>
      <c r="N193" s="19"/>
      <c r="O193" s="52" t="e">
        <f t="shared" si="21"/>
        <v>#N/A</v>
      </c>
      <c r="P193" s="52" t="e">
        <f t="shared" si="22"/>
        <v>#N/A</v>
      </c>
    </row>
    <row r="194" spans="3:16" ht="14.4" x14ac:dyDescent="0.3">
      <c r="C194" s="49" t="e">
        <f>VLOOKUP(B194,DAY!$C$2:$D$7,2,FALSE)</f>
        <v>#N/A</v>
      </c>
      <c r="D194" s="17"/>
      <c r="G194"/>
      <c r="H194"/>
      <c r="I194" s="52">
        <f t="shared" si="17"/>
        <v>1</v>
      </c>
      <c r="K194" s="52" t="str">
        <f t="shared" si="18"/>
        <v xml:space="preserve">-  </v>
      </c>
      <c r="L194" s="52" t="str">
        <f t="shared" si="19"/>
        <v xml:space="preserve"> --</v>
      </c>
      <c r="M194" s="52" t="str">
        <f t="shared" si="20"/>
        <v>- -</v>
      </c>
      <c r="N194" s="19"/>
      <c r="O194" s="52" t="e">
        <f t="shared" si="21"/>
        <v>#N/A</v>
      </c>
      <c r="P194" s="52" t="e">
        <f t="shared" si="22"/>
        <v>#N/A</v>
      </c>
    </row>
    <row r="195" spans="3:16" ht="14.4" x14ac:dyDescent="0.3">
      <c r="C195" s="49" t="e">
        <f>VLOOKUP(B195,DAY!$C$2:$D$7,2,FALSE)</f>
        <v>#N/A</v>
      </c>
      <c r="D195" s="17"/>
      <c r="G195"/>
      <c r="H195"/>
      <c r="I195" s="52">
        <f t="shared" ref="I195:I261" si="23">IF(H195="",1,2)</f>
        <v>1</v>
      </c>
      <c r="K195" s="52" t="str">
        <f t="shared" ref="K195:K261" si="24">E195&amp;"-"&amp;A195&amp;" "&amp;H195&amp;" "&amp;G195</f>
        <v xml:space="preserve">-  </v>
      </c>
      <c r="L195" s="52" t="str">
        <f t="shared" ref="L195:L261" si="25">H195&amp;" "&amp;E195&amp;"-"&amp;F195&amp;"-"&amp;G195</f>
        <v xml:space="preserve"> --</v>
      </c>
      <c r="M195" s="52" t="str">
        <f t="shared" ref="M195:M261" si="26">A195&amp;"-"&amp;H195&amp;" "&amp;E195&amp;"-"&amp;F195</f>
        <v>- -</v>
      </c>
      <c r="N195" s="19"/>
      <c r="O195" s="52" t="e">
        <f t="shared" ref="O195:O259" si="27">C195&amp;D195&amp;F195</f>
        <v>#N/A</v>
      </c>
      <c r="P195" s="52" t="e">
        <f t="shared" ref="P195:P259" si="28">C195&amp;D195&amp;G195</f>
        <v>#N/A</v>
      </c>
    </row>
    <row r="196" spans="3:16" ht="14.4" x14ac:dyDescent="0.3">
      <c r="C196" s="49" t="e">
        <f>VLOOKUP(B196,DAY!$C$2:$D$7,2,FALSE)</f>
        <v>#N/A</v>
      </c>
      <c r="D196" s="17"/>
      <c r="G196"/>
      <c r="H196"/>
      <c r="I196" s="52">
        <f t="shared" si="23"/>
        <v>1</v>
      </c>
      <c r="K196" s="52" t="str">
        <f t="shared" si="24"/>
        <v xml:space="preserve">-  </v>
      </c>
      <c r="L196" s="52" t="str">
        <f t="shared" si="25"/>
        <v xml:space="preserve"> --</v>
      </c>
      <c r="M196" s="52" t="str">
        <f t="shared" si="26"/>
        <v>- -</v>
      </c>
      <c r="N196" s="19"/>
      <c r="O196" s="52" t="e">
        <f t="shared" si="27"/>
        <v>#N/A</v>
      </c>
      <c r="P196" s="52" t="e">
        <f t="shared" si="28"/>
        <v>#N/A</v>
      </c>
    </row>
    <row r="197" spans="3:16" ht="14.4" x14ac:dyDescent="0.3">
      <c r="C197" s="49" t="e">
        <f>VLOOKUP(B197,DAY!$C$2:$D$7,2,FALSE)</f>
        <v>#N/A</v>
      </c>
      <c r="D197" s="17"/>
      <c r="G197"/>
      <c r="H197"/>
      <c r="I197" s="52">
        <f t="shared" si="23"/>
        <v>1</v>
      </c>
      <c r="K197" s="52" t="str">
        <f t="shared" si="24"/>
        <v xml:space="preserve">-  </v>
      </c>
      <c r="L197" s="52" t="str">
        <f t="shared" si="25"/>
        <v xml:space="preserve"> --</v>
      </c>
      <c r="M197" s="52" t="str">
        <f t="shared" si="26"/>
        <v>- -</v>
      </c>
      <c r="N197" s="19"/>
      <c r="O197" s="52" t="e">
        <f t="shared" si="27"/>
        <v>#N/A</v>
      </c>
      <c r="P197" s="52" t="e">
        <f t="shared" si="28"/>
        <v>#N/A</v>
      </c>
    </row>
    <row r="198" spans="3:16" ht="14.4" x14ac:dyDescent="0.3">
      <c r="C198" s="49" t="e">
        <f>VLOOKUP(B198,DAY!$C$2:$D$7,2,FALSE)</f>
        <v>#N/A</v>
      </c>
      <c r="D198" s="17"/>
      <c r="G198"/>
      <c r="H198"/>
      <c r="I198" s="52">
        <f t="shared" si="23"/>
        <v>1</v>
      </c>
      <c r="K198" s="52" t="str">
        <f t="shared" si="24"/>
        <v xml:space="preserve">-  </v>
      </c>
      <c r="L198" s="52" t="str">
        <f t="shared" si="25"/>
        <v xml:space="preserve"> --</v>
      </c>
      <c r="M198" s="52" t="str">
        <f t="shared" si="26"/>
        <v>- -</v>
      </c>
      <c r="N198" s="19"/>
      <c r="O198" s="52" t="e">
        <f t="shared" si="27"/>
        <v>#N/A</v>
      </c>
      <c r="P198" s="52" t="e">
        <f t="shared" si="28"/>
        <v>#N/A</v>
      </c>
    </row>
    <row r="199" spans="3:16" ht="14.4" x14ac:dyDescent="0.3">
      <c r="C199" s="49" t="e">
        <f>VLOOKUP(B199,DAY!$C$2:$D$7,2,FALSE)</f>
        <v>#N/A</v>
      </c>
      <c r="D199" s="17"/>
      <c r="G199"/>
      <c r="H199"/>
      <c r="I199" s="52">
        <f t="shared" si="23"/>
        <v>1</v>
      </c>
      <c r="K199" s="52" t="str">
        <f t="shared" si="24"/>
        <v xml:space="preserve">-  </v>
      </c>
      <c r="L199" s="52" t="str">
        <f t="shared" si="25"/>
        <v xml:space="preserve"> --</v>
      </c>
      <c r="M199" s="52" t="str">
        <f t="shared" si="26"/>
        <v>- -</v>
      </c>
      <c r="N199" s="19"/>
      <c r="O199" s="52" t="e">
        <f t="shared" si="27"/>
        <v>#N/A</v>
      </c>
      <c r="P199" s="52" t="e">
        <f t="shared" si="28"/>
        <v>#N/A</v>
      </c>
    </row>
    <row r="200" spans="3:16" ht="14.4" x14ac:dyDescent="0.3">
      <c r="C200" s="49" t="e">
        <f>VLOOKUP(B200,DAY!$C$2:$D$7,2,FALSE)</f>
        <v>#N/A</v>
      </c>
      <c r="D200" s="17"/>
      <c r="G200"/>
      <c r="H200"/>
      <c r="I200" s="52">
        <f t="shared" si="23"/>
        <v>1</v>
      </c>
      <c r="K200" s="52" t="str">
        <f t="shared" si="24"/>
        <v xml:space="preserve">-  </v>
      </c>
      <c r="L200" s="52" t="str">
        <f t="shared" si="25"/>
        <v xml:space="preserve"> --</v>
      </c>
      <c r="M200" s="52" t="str">
        <f t="shared" si="26"/>
        <v>- -</v>
      </c>
      <c r="N200" s="19"/>
      <c r="O200" s="52" t="e">
        <f t="shared" si="27"/>
        <v>#N/A</v>
      </c>
      <c r="P200" s="52" t="e">
        <f t="shared" si="28"/>
        <v>#N/A</v>
      </c>
    </row>
    <row r="201" spans="3:16" ht="14.4" x14ac:dyDescent="0.3">
      <c r="C201" s="49" t="e">
        <f>VLOOKUP(B201,DAY!$C$2:$D$7,2,FALSE)</f>
        <v>#N/A</v>
      </c>
      <c r="D201" s="17"/>
      <c r="G201"/>
      <c r="H201"/>
      <c r="I201" s="52">
        <f t="shared" si="23"/>
        <v>1</v>
      </c>
      <c r="K201" s="52" t="str">
        <f t="shared" si="24"/>
        <v xml:space="preserve">-  </v>
      </c>
      <c r="L201" s="52" t="str">
        <f t="shared" si="25"/>
        <v xml:space="preserve"> --</v>
      </c>
      <c r="M201" s="52" t="str">
        <f t="shared" si="26"/>
        <v>- -</v>
      </c>
      <c r="N201" s="19"/>
      <c r="O201" s="52" t="e">
        <f t="shared" si="27"/>
        <v>#N/A</v>
      </c>
      <c r="P201" s="52" t="e">
        <f t="shared" si="28"/>
        <v>#N/A</v>
      </c>
    </row>
    <row r="202" spans="3:16" ht="14.4" x14ac:dyDescent="0.3">
      <c r="C202" s="49" t="e">
        <f>VLOOKUP(B202,DAY!$C$2:$D$7,2,FALSE)</f>
        <v>#N/A</v>
      </c>
      <c r="D202" s="17"/>
      <c r="G202"/>
      <c r="H202"/>
      <c r="I202" s="52">
        <f t="shared" si="23"/>
        <v>1</v>
      </c>
      <c r="K202" s="52" t="str">
        <f t="shared" si="24"/>
        <v xml:space="preserve">-  </v>
      </c>
      <c r="L202" s="52" t="str">
        <f t="shared" si="25"/>
        <v xml:space="preserve"> --</v>
      </c>
      <c r="M202" s="52" t="str">
        <f t="shared" si="26"/>
        <v>- -</v>
      </c>
      <c r="N202" s="19"/>
      <c r="O202" s="52" t="e">
        <f t="shared" si="27"/>
        <v>#N/A</v>
      </c>
      <c r="P202" s="52" t="e">
        <f t="shared" si="28"/>
        <v>#N/A</v>
      </c>
    </row>
    <row r="203" spans="3:16" ht="14.4" x14ac:dyDescent="0.3">
      <c r="C203" s="49" t="e">
        <f>VLOOKUP(B203,DAY!$C$2:$D$7,2,FALSE)</f>
        <v>#N/A</v>
      </c>
      <c r="D203" s="17"/>
      <c r="G203"/>
      <c r="H203"/>
      <c r="I203" s="52">
        <f t="shared" si="23"/>
        <v>1</v>
      </c>
      <c r="K203" s="52" t="str">
        <f t="shared" si="24"/>
        <v xml:space="preserve">-  </v>
      </c>
      <c r="L203" s="52" t="str">
        <f t="shared" si="25"/>
        <v xml:space="preserve"> --</v>
      </c>
      <c r="M203" s="52" t="str">
        <f t="shared" si="26"/>
        <v>- -</v>
      </c>
      <c r="N203" s="19"/>
      <c r="O203" s="52" t="e">
        <f t="shared" si="27"/>
        <v>#N/A</v>
      </c>
      <c r="P203" s="52" t="e">
        <f t="shared" si="28"/>
        <v>#N/A</v>
      </c>
    </row>
    <row r="204" spans="3:16" ht="14.4" x14ac:dyDescent="0.3">
      <c r="C204" s="49" t="e">
        <f>VLOOKUP(B204,DAY!$C$2:$D$7,2,FALSE)</f>
        <v>#N/A</v>
      </c>
      <c r="D204" s="17"/>
      <c r="G204"/>
      <c r="H204"/>
      <c r="I204" s="52">
        <f t="shared" si="23"/>
        <v>1</v>
      </c>
      <c r="K204" s="52" t="str">
        <f t="shared" si="24"/>
        <v xml:space="preserve">-  </v>
      </c>
      <c r="L204" s="52" t="str">
        <f t="shared" si="25"/>
        <v xml:space="preserve"> --</v>
      </c>
      <c r="M204" s="52" t="str">
        <f t="shared" si="26"/>
        <v>- -</v>
      </c>
      <c r="N204" s="19"/>
      <c r="O204" s="52" t="e">
        <f t="shared" si="27"/>
        <v>#N/A</v>
      </c>
      <c r="P204" s="52" t="e">
        <f t="shared" si="28"/>
        <v>#N/A</v>
      </c>
    </row>
    <row r="205" spans="3:16" ht="14.4" x14ac:dyDescent="0.3">
      <c r="C205" s="49" t="e">
        <f>VLOOKUP(B205,DAY!$C$2:$D$7,2,FALSE)</f>
        <v>#N/A</v>
      </c>
      <c r="D205" s="17"/>
      <c r="G205"/>
      <c r="H205"/>
      <c r="I205" s="52">
        <f t="shared" si="23"/>
        <v>1</v>
      </c>
      <c r="K205" s="52" t="str">
        <f t="shared" si="24"/>
        <v xml:space="preserve">-  </v>
      </c>
      <c r="L205" s="52" t="str">
        <f t="shared" si="25"/>
        <v xml:space="preserve"> --</v>
      </c>
      <c r="M205" s="52" t="str">
        <f t="shared" si="26"/>
        <v>- -</v>
      </c>
      <c r="N205" s="19"/>
      <c r="O205" s="52" t="e">
        <f t="shared" si="27"/>
        <v>#N/A</v>
      </c>
      <c r="P205" s="52" t="e">
        <f t="shared" si="28"/>
        <v>#N/A</v>
      </c>
    </row>
    <row r="206" spans="3:16" ht="14.4" x14ac:dyDescent="0.3">
      <c r="C206" s="49" t="e">
        <f>VLOOKUP(B206,DAY!$C$2:$D$7,2,FALSE)</f>
        <v>#N/A</v>
      </c>
      <c r="D206" s="17"/>
      <c r="G206"/>
      <c r="H206"/>
      <c r="I206" s="52">
        <f t="shared" si="23"/>
        <v>1</v>
      </c>
      <c r="K206" s="52" t="str">
        <f t="shared" si="24"/>
        <v xml:space="preserve">-  </v>
      </c>
      <c r="L206" s="52" t="str">
        <f t="shared" si="25"/>
        <v xml:space="preserve"> --</v>
      </c>
      <c r="M206" s="52" t="str">
        <f t="shared" si="26"/>
        <v>- -</v>
      </c>
      <c r="N206" s="19"/>
      <c r="O206" s="52" t="e">
        <f t="shared" si="27"/>
        <v>#N/A</v>
      </c>
      <c r="P206" s="52" t="e">
        <f t="shared" si="28"/>
        <v>#N/A</v>
      </c>
    </row>
    <row r="207" spans="3:16" ht="14.4" x14ac:dyDescent="0.3">
      <c r="C207" s="49" t="e">
        <f>VLOOKUP(B207,DAY!$C$2:$D$7,2,FALSE)</f>
        <v>#N/A</v>
      </c>
      <c r="D207" s="17"/>
      <c r="G207"/>
      <c r="H207"/>
      <c r="I207" s="52">
        <f t="shared" si="23"/>
        <v>1</v>
      </c>
      <c r="K207" s="52" t="str">
        <f t="shared" si="24"/>
        <v xml:space="preserve">-  </v>
      </c>
      <c r="L207" s="52" t="str">
        <f t="shared" si="25"/>
        <v xml:space="preserve"> --</v>
      </c>
      <c r="M207" s="52" t="str">
        <f t="shared" si="26"/>
        <v>- -</v>
      </c>
      <c r="N207" s="19"/>
      <c r="O207" s="52" t="e">
        <f t="shared" si="27"/>
        <v>#N/A</v>
      </c>
      <c r="P207" s="52" t="e">
        <f t="shared" si="28"/>
        <v>#N/A</v>
      </c>
    </row>
    <row r="208" spans="3:16" ht="14.4" x14ac:dyDescent="0.3">
      <c r="C208" s="49" t="e">
        <f>VLOOKUP(B208,DAY!$C$2:$D$7,2,FALSE)</f>
        <v>#N/A</v>
      </c>
      <c r="D208" s="17"/>
      <c r="G208"/>
      <c r="H208"/>
      <c r="I208" s="52">
        <f t="shared" si="23"/>
        <v>1</v>
      </c>
      <c r="K208" s="52" t="str">
        <f t="shared" si="24"/>
        <v xml:space="preserve">-  </v>
      </c>
      <c r="L208" s="52" t="str">
        <f t="shared" si="25"/>
        <v xml:space="preserve"> --</v>
      </c>
      <c r="M208" s="52" t="str">
        <f t="shared" si="26"/>
        <v>- -</v>
      </c>
      <c r="N208" s="19"/>
      <c r="O208" s="52" t="e">
        <f t="shared" si="27"/>
        <v>#N/A</v>
      </c>
      <c r="P208" s="52" t="e">
        <f t="shared" si="28"/>
        <v>#N/A</v>
      </c>
    </row>
    <row r="209" spans="3:16" ht="14.4" x14ac:dyDescent="0.3">
      <c r="C209" s="49" t="e">
        <f>VLOOKUP(B209,DAY!$C$2:$D$7,2,FALSE)</f>
        <v>#N/A</v>
      </c>
      <c r="D209" s="17"/>
      <c r="G209"/>
      <c r="H209"/>
      <c r="I209" s="52">
        <f t="shared" si="23"/>
        <v>1</v>
      </c>
      <c r="K209" s="52" t="str">
        <f t="shared" si="24"/>
        <v xml:space="preserve">-  </v>
      </c>
      <c r="L209" s="52" t="str">
        <f t="shared" si="25"/>
        <v xml:space="preserve"> --</v>
      </c>
      <c r="M209" s="52" t="str">
        <f t="shared" si="26"/>
        <v>- -</v>
      </c>
      <c r="N209" s="19"/>
      <c r="O209" s="52" t="e">
        <f t="shared" si="27"/>
        <v>#N/A</v>
      </c>
      <c r="P209" s="52" t="e">
        <f t="shared" si="28"/>
        <v>#N/A</v>
      </c>
    </row>
    <row r="210" spans="3:16" ht="14.4" x14ac:dyDescent="0.3">
      <c r="C210" s="49" t="e">
        <f>VLOOKUP(B210,DAY!$C$2:$D$7,2,FALSE)</f>
        <v>#N/A</v>
      </c>
      <c r="D210" s="17"/>
      <c r="G210"/>
      <c r="H210"/>
      <c r="I210" s="52">
        <f t="shared" si="23"/>
        <v>1</v>
      </c>
      <c r="K210" s="52" t="str">
        <f t="shared" si="24"/>
        <v xml:space="preserve">-  </v>
      </c>
      <c r="L210" s="52" t="str">
        <f t="shared" si="25"/>
        <v xml:space="preserve"> --</v>
      </c>
      <c r="M210" s="52" t="str">
        <f t="shared" si="26"/>
        <v>- -</v>
      </c>
      <c r="N210" s="19"/>
      <c r="O210" s="52" t="e">
        <f t="shared" si="27"/>
        <v>#N/A</v>
      </c>
      <c r="P210" s="52" t="e">
        <f t="shared" si="28"/>
        <v>#N/A</v>
      </c>
    </row>
    <row r="211" spans="3:16" ht="14.4" x14ac:dyDescent="0.3">
      <c r="C211" s="49" t="e">
        <f>VLOOKUP(B211,DAY!$C$2:$D$7,2,FALSE)</f>
        <v>#N/A</v>
      </c>
      <c r="D211" s="17"/>
      <c r="G211"/>
      <c r="H211"/>
      <c r="I211" s="52">
        <f t="shared" si="23"/>
        <v>1</v>
      </c>
      <c r="K211" s="52" t="str">
        <f t="shared" si="24"/>
        <v xml:space="preserve">-  </v>
      </c>
      <c r="L211" s="52" t="str">
        <f t="shared" si="25"/>
        <v xml:space="preserve"> --</v>
      </c>
      <c r="M211" s="52" t="str">
        <f t="shared" si="26"/>
        <v>- -</v>
      </c>
      <c r="N211" s="19"/>
      <c r="O211" s="52" t="e">
        <f t="shared" si="27"/>
        <v>#N/A</v>
      </c>
      <c r="P211" s="52" t="e">
        <f t="shared" si="28"/>
        <v>#N/A</v>
      </c>
    </row>
    <row r="212" spans="3:16" ht="14.4" x14ac:dyDescent="0.3">
      <c r="C212" s="49" t="e">
        <f>VLOOKUP(B212,DAY!$C$2:$D$7,2,FALSE)</f>
        <v>#N/A</v>
      </c>
      <c r="D212" s="17"/>
      <c r="G212"/>
      <c r="H212"/>
      <c r="I212" s="52">
        <f t="shared" si="23"/>
        <v>1</v>
      </c>
      <c r="K212" s="52" t="str">
        <f t="shared" si="24"/>
        <v xml:space="preserve">-  </v>
      </c>
      <c r="L212" s="52" t="str">
        <f t="shared" si="25"/>
        <v xml:space="preserve"> --</v>
      </c>
      <c r="M212" s="52" t="str">
        <f t="shared" si="26"/>
        <v>- -</v>
      </c>
      <c r="N212" s="19"/>
      <c r="O212" s="52" t="e">
        <f t="shared" si="27"/>
        <v>#N/A</v>
      </c>
      <c r="P212" s="52" t="e">
        <f t="shared" si="28"/>
        <v>#N/A</v>
      </c>
    </row>
    <row r="213" spans="3:16" ht="14.4" x14ac:dyDescent="0.3">
      <c r="C213" s="49" t="e">
        <f>VLOOKUP(B213,DAY!$C$2:$D$7,2,FALSE)</f>
        <v>#N/A</v>
      </c>
      <c r="D213" s="17"/>
      <c r="G213"/>
      <c r="H213"/>
      <c r="I213" s="52">
        <f t="shared" si="23"/>
        <v>1</v>
      </c>
      <c r="K213" s="52" t="str">
        <f>E213&amp;"-"&amp;A213&amp;" "&amp;H213&amp;" "&amp;G216</f>
        <v xml:space="preserve">-  </v>
      </c>
      <c r="L213" s="52" t="str">
        <f>H213&amp;" "&amp;E213&amp;"-"&amp;F213&amp;"-"&amp;G216</f>
        <v xml:space="preserve"> --</v>
      </c>
      <c r="M213" s="52" t="str">
        <f t="shared" si="26"/>
        <v>- -</v>
      </c>
      <c r="N213" s="19"/>
      <c r="O213" s="52" t="e">
        <f t="shared" si="27"/>
        <v>#N/A</v>
      </c>
      <c r="P213" s="52" t="e">
        <f>C213&amp;D213&amp;G216</f>
        <v>#N/A</v>
      </c>
    </row>
    <row r="214" spans="3:16" ht="14.4" x14ac:dyDescent="0.3">
      <c r="C214" s="49" t="e">
        <f>VLOOKUP(B214,DAY!$C$2:$D$7,2,FALSE)</f>
        <v>#N/A</v>
      </c>
      <c r="D214" s="17"/>
      <c r="G214"/>
      <c r="H214"/>
      <c r="I214" s="52">
        <f t="shared" si="23"/>
        <v>1</v>
      </c>
      <c r="K214" s="52" t="str">
        <f t="shared" si="24"/>
        <v xml:space="preserve">-  </v>
      </c>
      <c r="L214" s="52" t="str">
        <f t="shared" si="25"/>
        <v xml:space="preserve"> --</v>
      </c>
      <c r="M214" s="52" t="str">
        <f t="shared" si="26"/>
        <v>- -</v>
      </c>
      <c r="N214" s="19"/>
      <c r="O214" s="52" t="e">
        <f t="shared" si="27"/>
        <v>#N/A</v>
      </c>
      <c r="P214" s="52" t="e">
        <f t="shared" si="28"/>
        <v>#N/A</v>
      </c>
    </row>
    <row r="215" spans="3:16" ht="14.4" x14ac:dyDescent="0.3">
      <c r="C215" s="49" t="e">
        <f>VLOOKUP(B215,DAY!$C$2:$D$7,2,FALSE)</f>
        <v>#N/A</v>
      </c>
      <c r="D215" s="17"/>
      <c r="G215"/>
      <c r="H215"/>
      <c r="I215" s="52">
        <f t="shared" si="23"/>
        <v>1</v>
      </c>
      <c r="K215" s="52" t="str">
        <f t="shared" si="24"/>
        <v xml:space="preserve">-  </v>
      </c>
      <c r="L215" s="52" t="str">
        <f t="shared" si="25"/>
        <v xml:space="preserve"> --</v>
      </c>
      <c r="M215" s="52" t="str">
        <f t="shared" si="26"/>
        <v>- -</v>
      </c>
      <c r="N215" s="19"/>
      <c r="O215" s="52" t="e">
        <f t="shared" si="27"/>
        <v>#N/A</v>
      </c>
      <c r="P215" s="52" t="e">
        <f t="shared" si="28"/>
        <v>#N/A</v>
      </c>
    </row>
    <row r="216" spans="3:16" ht="14.4" x14ac:dyDescent="0.3">
      <c r="C216" s="49" t="e">
        <f>VLOOKUP(B216,DAY!$C$2:$D$7,2,FALSE)</f>
        <v>#N/A</v>
      </c>
      <c r="D216" s="17"/>
      <c r="G216"/>
      <c r="H216"/>
      <c r="I216" s="52">
        <f t="shared" si="23"/>
        <v>1</v>
      </c>
      <c r="K216" s="52" t="str">
        <f t="shared" si="24"/>
        <v xml:space="preserve">-  </v>
      </c>
      <c r="L216" s="52" t="str">
        <f t="shared" si="25"/>
        <v xml:space="preserve"> --</v>
      </c>
      <c r="M216" s="52" t="str">
        <f t="shared" si="26"/>
        <v>- -</v>
      </c>
      <c r="N216" s="19"/>
      <c r="O216" s="52" t="e">
        <f t="shared" si="27"/>
        <v>#N/A</v>
      </c>
      <c r="P216" s="52" t="e">
        <f>C216&amp;D216&amp;#REF!</f>
        <v>#N/A</v>
      </c>
    </row>
    <row r="217" spans="3:16" ht="14.4" x14ac:dyDescent="0.3">
      <c r="C217" s="49" t="e">
        <f>VLOOKUP(B217,DAY!$C$2:$D$7,2,FALSE)</f>
        <v>#N/A</v>
      </c>
      <c r="D217" s="17"/>
      <c r="G217"/>
      <c r="H217"/>
      <c r="I217" s="52">
        <f t="shared" si="23"/>
        <v>1</v>
      </c>
      <c r="K217" s="52" t="str">
        <f t="shared" si="24"/>
        <v xml:space="preserve">-  </v>
      </c>
      <c r="L217" s="52" t="str">
        <f t="shared" si="25"/>
        <v xml:space="preserve"> --</v>
      </c>
      <c r="M217" s="52" t="str">
        <f t="shared" si="26"/>
        <v>- -</v>
      </c>
      <c r="N217" s="19"/>
      <c r="O217" s="52" t="e">
        <f t="shared" si="27"/>
        <v>#N/A</v>
      </c>
      <c r="P217" s="52" t="e">
        <f t="shared" si="28"/>
        <v>#N/A</v>
      </c>
    </row>
    <row r="218" spans="3:16" ht="14.4" x14ac:dyDescent="0.3">
      <c r="C218" s="49" t="e">
        <f>VLOOKUP(B218,DAY!$C$2:$D$7,2,FALSE)</f>
        <v>#N/A</v>
      </c>
      <c r="D218" s="17"/>
      <c r="G218"/>
      <c r="H218"/>
      <c r="I218" s="52">
        <f t="shared" si="23"/>
        <v>1</v>
      </c>
      <c r="K218" s="52" t="str">
        <f t="shared" si="24"/>
        <v xml:space="preserve">-  </v>
      </c>
      <c r="L218" s="52" t="str">
        <f t="shared" si="25"/>
        <v xml:space="preserve"> --</v>
      </c>
      <c r="M218" s="52" t="str">
        <f t="shared" si="26"/>
        <v>- -</v>
      </c>
      <c r="N218" s="19"/>
      <c r="O218" s="52" t="e">
        <f t="shared" si="27"/>
        <v>#N/A</v>
      </c>
      <c r="P218" s="52" t="e">
        <f t="shared" si="28"/>
        <v>#N/A</v>
      </c>
    </row>
    <row r="219" spans="3:16" ht="14.4" x14ac:dyDescent="0.3">
      <c r="C219" s="49" t="e">
        <f>VLOOKUP(B219,DAY!$C$2:$D$7,2,FALSE)</f>
        <v>#N/A</v>
      </c>
      <c r="D219" s="17"/>
      <c r="G219"/>
      <c r="H219"/>
      <c r="I219" s="52">
        <f t="shared" si="23"/>
        <v>1</v>
      </c>
      <c r="K219" s="52" t="str">
        <f t="shared" si="24"/>
        <v xml:space="preserve">-  </v>
      </c>
      <c r="L219" s="52" t="str">
        <f t="shared" si="25"/>
        <v xml:space="preserve"> --</v>
      </c>
      <c r="M219" s="52" t="str">
        <f t="shared" si="26"/>
        <v>- -</v>
      </c>
      <c r="N219" s="19"/>
      <c r="O219" s="52" t="e">
        <f t="shared" si="27"/>
        <v>#N/A</v>
      </c>
      <c r="P219" s="52" t="e">
        <f t="shared" si="28"/>
        <v>#N/A</v>
      </c>
    </row>
    <row r="220" spans="3:16" ht="14.4" x14ac:dyDescent="0.3">
      <c r="C220" s="49" t="e">
        <f>VLOOKUP(B220,DAY!$C$2:$D$7,2,FALSE)</f>
        <v>#N/A</v>
      </c>
      <c r="D220" s="17"/>
      <c r="G220"/>
      <c r="H220"/>
      <c r="I220" s="52">
        <f t="shared" si="23"/>
        <v>1</v>
      </c>
      <c r="K220" s="52" t="str">
        <f t="shared" si="24"/>
        <v xml:space="preserve">-  </v>
      </c>
      <c r="L220" s="52" t="str">
        <f t="shared" si="25"/>
        <v xml:space="preserve"> --</v>
      </c>
      <c r="M220" s="52" t="str">
        <f t="shared" si="26"/>
        <v>- -</v>
      </c>
      <c r="N220" s="19"/>
      <c r="O220" s="52" t="e">
        <f t="shared" si="27"/>
        <v>#N/A</v>
      </c>
      <c r="P220" s="52" t="e">
        <f t="shared" si="28"/>
        <v>#N/A</v>
      </c>
    </row>
    <row r="221" spans="3:16" ht="14.4" x14ac:dyDescent="0.3">
      <c r="C221" s="49" t="e">
        <f>VLOOKUP(B221,DAY!$C$2:$D$7,2,FALSE)</f>
        <v>#N/A</v>
      </c>
      <c r="D221" s="17"/>
      <c r="G221"/>
      <c r="H221"/>
      <c r="I221" s="52">
        <f t="shared" si="23"/>
        <v>1</v>
      </c>
      <c r="K221" s="52" t="str">
        <f t="shared" si="24"/>
        <v xml:space="preserve">-  </v>
      </c>
      <c r="L221" s="52" t="str">
        <f t="shared" si="25"/>
        <v xml:space="preserve"> --</v>
      </c>
      <c r="M221" s="52" t="str">
        <f t="shared" si="26"/>
        <v>- -</v>
      </c>
      <c r="N221" s="19"/>
      <c r="O221" s="52" t="e">
        <f t="shared" si="27"/>
        <v>#N/A</v>
      </c>
      <c r="P221" s="52" t="e">
        <f t="shared" si="28"/>
        <v>#N/A</v>
      </c>
    </row>
    <row r="222" spans="3:16" ht="14.4" x14ac:dyDescent="0.3">
      <c r="C222" s="49" t="e">
        <f>VLOOKUP(B222,DAY!$C$2:$D$7,2,FALSE)</f>
        <v>#N/A</v>
      </c>
      <c r="D222" s="17"/>
      <c r="G222"/>
      <c r="H222"/>
      <c r="I222" s="52">
        <f t="shared" si="23"/>
        <v>1</v>
      </c>
      <c r="K222" s="52" t="str">
        <f t="shared" si="24"/>
        <v xml:space="preserve">-  </v>
      </c>
      <c r="L222" s="52" t="str">
        <f t="shared" si="25"/>
        <v xml:space="preserve"> --</v>
      </c>
      <c r="M222" s="52" t="str">
        <f t="shared" si="26"/>
        <v>- -</v>
      </c>
      <c r="N222" s="19"/>
      <c r="O222" s="52" t="e">
        <f t="shared" si="27"/>
        <v>#N/A</v>
      </c>
      <c r="P222" s="52" t="e">
        <f t="shared" si="28"/>
        <v>#N/A</v>
      </c>
    </row>
    <row r="223" spans="3:16" ht="14.4" x14ac:dyDescent="0.3">
      <c r="C223" s="49" t="e">
        <f>VLOOKUP(B223,DAY!$C$2:$D$7,2,FALSE)</f>
        <v>#N/A</v>
      </c>
      <c r="D223" s="17"/>
      <c r="G223"/>
      <c r="H223"/>
      <c r="I223" s="52">
        <f t="shared" si="23"/>
        <v>1</v>
      </c>
      <c r="K223" s="52" t="str">
        <f t="shared" si="24"/>
        <v xml:space="preserve">-  </v>
      </c>
      <c r="L223" s="52" t="str">
        <f t="shared" si="25"/>
        <v xml:space="preserve"> --</v>
      </c>
      <c r="M223" s="52" t="str">
        <f t="shared" si="26"/>
        <v>- -</v>
      </c>
      <c r="N223" s="19"/>
      <c r="O223" s="52" t="e">
        <f t="shared" si="27"/>
        <v>#N/A</v>
      </c>
      <c r="P223" s="52" t="e">
        <f t="shared" si="28"/>
        <v>#N/A</v>
      </c>
    </row>
    <row r="224" spans="3:16" ht="14.4" x14ac:dyDescent="0.3">
      <c r="C224" s="49" t="e">
        <f>VLOOKUP(B224,DAY!$C$2:$D$7,2,FALSE)</f>
        <v>#N/A</v>
      </c>
      <c r="D224" s="17"/>
      <c r="G224"/>
      <c r="H224"/>
      <c r="I224" s="52">
        <f t="shared" si="23"/>
        <v>1</v>
      </c>
      <c r="K224" s="52" t="str">
        <f t="shared" si="24"/>
        <v xml:space="preserve">-  </v>
      </c>
      <c r="L224" s="52" t="str">
        <f t="shared" si="25"/>
        <v xml:space="preserve"> --</v>
      </c>
      <c r="M224" s="52" t="str">
        <f t="shared" si="26"/>
        <v>- -</v>
      </c>
      <c r="N224" s="19"/>
      <c r="O224" s="52" t="e">
        <f t="shared" si="27"/>
        <v>#N/A</v>
      </c>
      <c r="P224" s="52" t="e">
        <f t="shared" si="28"/>
        <v>#N/A</v>
      </c>
    </row>
    <row r="225" spans="3:16" ht="14.4" x14ac:dyDescent="0.3">
      <c r="C225" s="49" t="e">
        <f>VLOOKUP(B225,DAY!$C$2:$D$7,2,FALSE)</f>
        <v>#N/A</v>
      </c>
      <c r="D225" s="17"/>
      <c r="G225"/>
      <c r="H225"/>
      <c r="I225" s="52">
        <f t="shared" si="23"/>
        <v>1</v>
      </c>
      <c r="K225" s="52" t="str">
        <f t="shared" si="24"/>
        <v xml:space="preserve">-  </v>
      </c>
      <c r="L225" s="52" t="str">
        <f t="shared" si="25"/>
        <v xml:space="preserve"> --</v>
      </c>
      <c r="M225" s="52" t="str">
        <f t="shared" si="26"/>
        <v>- -</v>
      </c>
      <c r="N225" s="19"/>
      <c r="O225" s="52" t="e">
        <f t="shared" si="27"/>
        <v>#N/A</v>
      </c>
      <c r="P225" s="52" t="e">
        <f t="shared" si="28"/>
        <v>#N/A</v>
      </c>
    </row>
    <row r="226" spans="3:16" ht="14.4" x14ac:dyDescent="0.3">
      <c r="C226" s="49" t="e">
        <f>VLOOKUP(B226,DAY!$C$2:$D$7,2,FALSE)</f>
        <v>#N/A</v>
      </c>
      <c r="D226" s="17"/>
      <c r="G226"/>
      <c r="H226"/>
      <c r="I226" s="52">
        <f t="shared" si="23"/>
        <v>1</v>
      </c>
      <c r="K226" s="52" t="str">
        <f t="shared" si="24"/>
        <v xml:space="preserve">-  </v>
      </c>
      <c r="L226" s="52" t="str">
        <f t="shared" si="25"/>
        <v xml:space="preserve"> --</v>
      </c>
      <c r="M226" s="52" t="str">
        <f t="shared" si="26"/>
        <v>- -</v>
      </c>
      <c r="N226" s="19"/>
      <c r="O226" s="52" t="e">
        <f t="shared" si="27"/>
        <v>#N/A</v>
      </c>
      <c r="P226" s="52" t="e">
        <f t="shared" si="28"/>
        <v>#N/A</v>
      </c>
    </row>
    <row r="227" spans="3:16" ht="14.4" x14ac:dyDescent="0.3">
      <c r="C227" s="49" t="e">
        <f>VLOOKUP(B227,DAY!$C$2:$D$7,2,FALSE)</f>
        <v>#N/A</v>
      </c>
      <c r="D227" s="17"/>
      <c r="G227"/>
      <c r="H227"/>
      <c r="I227" s="52">
        <f t="shared" si="23"/>
        <v>1</v>
      </c>
      <c r="K227" s="52" t="str">
        <f t="shared" si="24"/>
        <v xml:space="preserve">-  </v>
      </c>
      <c r="L227" s="52" t="str">
        <f t="shared" si="25"/>
        <v xml:space="preserve"> --</v>
      </c>
      <c r="M227" s="52" t="str">
        <f t="shared" si="26"/>
        <v>- -</v>
      </c>
      <c r="N227" s="19"/>
      <c r="O227" s="52" t="e">
        <f t="shared" si="27"/>
        <v>#N/A</v>
      </c>
      <c r="P227" s="52" t="e">
        <f t="shared" si="28"/>
        <v>#N/A</v>
      </c>
    </row>
    <row r="228" spans="3:16" ht="14.4" x14ac:dyDescent="0.3">
      <c r="C228" s="49" t="e">
        <f>VLOOKUP(B228,DAY!$C$2:$D$7,2,FALSE)</f>
        <v>#N/A</v>
      </c>
      <c r="D228" s="17"/>
      <c r="G228"/>
      <c r="H228"/>
      <c r="I228" s="52">
        <f t="shared" si="23"/>
        <v>1</v>
      </c>
      <c r="K228" s="52" t="str">
        <f t="shared" si="24"/>
        <v xml:space="preserve">-  </v>
      </c>
      <c r="L228" s="52" t="str">
        <f t="shared" si="25"/>
        <v xml:space="preserve"> --</v>
      </c>
      <c r="M228" s="52" t="str">
        <f t="shared" si="26"/>
        <v>- -</v>
      </c>
      <c r="N228" s="19"/>
      <c r="O228" s="52" t="e">
        <f t="shared" si="27"/>
        <v>#N/A</v>
      </c>
      <c r="P228" s="52" t="e">
        <f t="shared" si="28"/>
        <v>#N/A</v>
      </c>
    </row>
    <row r="229" spans="3:16" ht="14.4" x14ac:dyDescent="0.3">
      <c r="C229" s="49" t="e">
        <f>VLOOKUP(B229,DAY!$C$2:$D$7,2,FALSE)</f>
        <v>#N/A</v>
      </c>
      <c r="D229" s="17"/>
      <c r="G229"/>
      <c r="H229"/>
      <c r="I229" s="52">
        <f>IF(H229="",1,2)</f>
        <v>1</v>
      </c>
      <c r="K229" s="52" t="str">
        <f>E229&amp;"-"&amp;A229&amp;" "&amp;H229&amp;" "&amp;G229</f>
        <v xml:space="preserve">-  </v>
      </c>
      <c r="L229" s="52" t="str">
        <f>H229&amp;" "&amp;E229&amp;"-"&amp;F229&amp;"-"&amp;G229</f>
        <v xml:space="preserve"> --</v>
      </c>
      <c r="M229" s="52" t="str">
        <f>A229&amp;"-"&amp;H229&amp;" "&amp;E229&amp;"-"&amp;F229</f>
        <v>- -</v>
      </c>
      <c r="N229" s="19"/>
      <c r="O229" s="52" t="e">
        <f t="shared" si="27"/>
        <v>#N/A</v>
      </c>
      <c r="P229" s="52" t="e">
        <f t="shared" si="28"/>
        <v>#N/A</v>
      </c>
    </row>
    <row r="230" spans="3:16" ht="14.4" x14ac:dyDescent="0.3">
      <c r="C230" s="49" t="e">
        <f>VLOOKUP(B230,DAY!$C$2:$D$7,2,FALSE)</f>
        <v>#N/A</v>
      </c>
      <c r="D230" s="17"/>
      <c r="G230"/>
      <c r="H230"/>
      <c r="I230" s="52">
        <v>1</v>
      </c>
      <c r="K230" s="52" t="str">
        <f>E230&amp;"-"&amp;A230&amp;" "&amp;H230&amp;" "&amp;G230</f>
        <v xml:space="preserve">-  </v>
      </c>
      <c r="L230" s="52" t="str">
        <f>H230&amp;" "&amp;E230&amp;"-"&amp;F230&amp;"-"&amp;G230</f>
        <v xml:space="preserve"> --</v>
      </c>
      <c r="M230" s="52" t="str">
        <f>A230&amp;"-"&amp;H230&amp;" "&amp;E230&amp;"-"&amp;F230</f>
        <v>- -</v>
      </c>
      <c r="N230" s="19"/>
      <c r="O230" s="52" t="e">
        <f t="shared" si="27"/>
        <v>#N/A</v>
      </c>
      <c r="P230" s="52" t="e">
        <f t="shared" si="28"/>
        <v>#N/A</v>
      </c>
    </row>
    <row r="231" spans="3:16" ht="14.4" x14ac:dyDescent="0.3">
      <c r="C231" s="49" t="e">
        <f>VLOOKUP(B231,DAY!$C$2:$D$7,2,FALSE)</f>
        <v>#N/A</v>
      </c>
      <c r="D231" s="17"/>
      <c r="G231"/>
      <c r="H231"/>
      <c r="I231" s="52">
        <v>1</v>
      </c>
      <c r="K231" s="52" t="str">
        <f>E231&amp;"-"&amp;A231&amp;" "&amp;H231&amp;" "&amp;G231</f>
        <v xml:space="preserve">-  </v>
      </c>
      <c r="L231" s="52" t="str">
        <f>H231&amp;" "&amp;E231&amp;"-"&amp;F231&amp;"-"&amp;G231</f>
        <v xml:space="preserve"> --</v>
      </c>
      <c r="M231" s="52" t="str">
        <f>A231&amp;"-"&amp;H231&amp;" "&amp;E231&amp;"-"&amp;F231</f>
        <v>- -</v>
      </c>
      <c r="N231" s="19"/>
      <c r="O231" s="52" t="e">
        <f t="shared" si="27"/>
        <v>#N/A</v>
      </c>
      <c r="P231" s="52" t="e">
        <f t="shared" si="28"/>
        <v>#N/A</v>
      </c>
    </row>
    <row r="232" spans="3:16" ht="14.4" x14ac:dyDescent="0.3">
      <c r="C232" s="49" t="e">
        <f>VLOOKUP(B232,DAY!$C$2:$D$7,2,FALSE)</f>
        <v>#N/A</v>
      </c>
      <c r="D232" s="17"/>
      <c r="G232"/>
      <c r="H232"/>
      <c r="I232" s="52">
        <f t="shared" si="23"/>
        <v>1</v>
      </c>
      <c r="K232" s="52" t="str">
        <f>E232&amp;"-"&amp;A232&amp;" "&amp;H232&amp;" "&amp;G232</f>
        <v xml:space="preserve">-  </v>
      </c>
      <c r="L232" s="52" t="str">
        <f>H232&amp;" "&amp;E232&amp;"-"&amp;F232&amp;"-"&amp;G232</f>
        <v xml:space="preserve"> --</v>
      </c>
      <c r="M232" s="52" t="str">
        <f>A232&amp;"-"&amp;H232&amp;" "&amp;E232&amp;"-"&amp;F232</f>
        <v>- -</v>
      </c>
      <c r="N232" s="19"/>
      <c r="O232" s="52" t="e">
        <f t="shared" si="27"/>
        <v>#N/A</v>
      </c>
      <c r="P232" s="52" t="e">
        <f t="shared" si="28"/>
        <v>#N/A</v>
      </c>
    </row>
    <row r="233" spans="3:16" ht="14.4" x14ac:dyDescent="0.3">
      <c r="C233" s="49" t="e">
        <f>VLOOKUP(B233,DAY!$C$2:$D$7,2,FALSE)</f>
        <v>#N/A</v>
      </c>
      <c r="D233" s="17"/>
      <c r="G233"/>
      <c r="H233"/>
      <c r="I233" s="52">
        <f t="shared" si="23"/>
        <v>1</v>
      </c>
      <c r="K233" s="52" t="str">
        <f t="shared" si="24"/>
        <v xml:space="preserve">-  </v>
      </c>
      <c r="L233" s="52" t="str">
        <f t="shared" si="25"/>
        <v xml:space="preserve"> --</v>
      </c>
      <c r="M233" s="52" t="str">
        <f t="shared" si="26"/>
        <v>- -</v>
      </c>
      <c r="N233" s="19"/>
      <c r="O233" s="52" t="e">
        <f t="shared" si="27"/>
        <v>#N/A</v>
      </c>
      <c r="P233" s="52" t="e">
        <f t="shared" si="28"/>
        <v>#N/A</v>
      </c>
    </row>
    <row r="234" spans="3:16" ht="14.4" x14ac:dyDescent="0.3">
      <c r="C234" s="49" t="e">
        <f>VLOOKUP(B234,DAY!$C$2:$D$7,2,FALSE)</f>
        <v>#N/A</v>
      </c>
      <c r="D234" s="17"/>
      <c r="G234"/>
      <c r="H234"/>
      <c r="I234" s="52">
        <f t="shared" si="23"/>
        <v>1</v>
      </c>
      <c r="K234" s="52" t="str">
        <f t="shared" si="24"/>
        <v xml:space="preserve">-  </v>
      </c>
      <c r="L234" s="52" t="str">
        <f t="shared" si="25"/>
        <v xml:space="preserve"> --</v>
      </c>
      <c r="M234" s="52" t="str">
        <f t="shared" si="26"/>
        <v>- -</v>
      </c>
      <c r="N234" s="19"/>
      <c r="O234" s="52" t="e">
        <f t="shared" si="27"/>
        <v>#N/A</v>
      </c>
      <c r="P234" s="52" t="e">
        <f t="shared" si="28"/>
        <v>#N/A</v>
      </c>
    </row>
    <row r="235" spans="3:16" ht="14.4" x14ac:dyDescent="0.3">
      <c r="C235" s="49" t="e">
        <f>VLOOKUP(B235,DAY!$C$2:$D$7,2,FALSE)</f>
        <v>#N/A</v>
      </c>
      <c r="D235" s="17"/>
      <c r="G235"/>
      <c r="H235"/>
      <c r="I235" s="52">
        <f t="shared" si="23"/>
        <v>1</v>
      </c>
      <c r="K235" s="52" t="str">
        <f t="shared" si="24"/>
        <v xml:space="preserve">-  </v>
      </c>
      <c r="L235" s="52" t="str">
        <f t="shared" si="25"/>
        <v xml:space="preserve"> --</v>
      </c>
      <c r="M235" s="52" t="str">
        <f t="shared" si="26"/>
        <v>- -</v>
      </c>
      <c r="N235" s="19"/>
      <c r="O235" s="52" t="e">
        <f t="shared" si="27"/>
        <v>#N/A</v>
      </c>
      <c r="P235" s="52" t="e">
        <f t="shared" si="28"/>
        <v>#N/A</v>
      </c>
    </row>
    <row r="236" spans="3:16" ht="14.4" x14ac:dyDescent="0.3">
      <c r="C236" s="49" t="e">
        <f>VLOOKUP(B236,DAY!$C$2:$D$7,2,FALSE)</f>
        <v>#N/A</v>
      </c>
      <c r="D236" s="17"/>
      <c r="G236"/>
      <c r="H236"/>
      <c r="I236" s="52">
        <v>1</v>
      </c>
      <c r="K236" s="52" t="str">
        <f t="shared" si="24"/>
        <v xml:space="preserve">-  </v>
      </c>
      <c r="L236" s="52" t="str">
        <f t="shared" si="25"/>
        <v xml:space="preserve"> --</v>
      </c>
      <c r="M236" s="52" t="str">
        <f t="shared" si="26"/>
        <v>- -</v>
      </c>
      <c r="N236" s="19"/>
      <c r="O236" s="52" t="e">
        <f t="shared" si="27"/>
        <v>#N/A</v>
      </c>
      <c r="P236" s="52" t="e">
        <f t="shared" si="28"/>
        <v>#N/A</v>
      </c>
    </row>
    <row r="237" spans="3:16" ht="14.4" x14ac:dyDescent="0.3">
      <c r="C237" s="49" t="e">
        <f>VLOOKUP(B237,DAY!$C$2:$D$7,2,FALSE)</f>
        <v>#N/A</v>
      </c>
      <c r="D237" s="17"/>
      <c r="G237"/>
      <c r="H237"/>
      <c r="I237" s="52">
        <v>1</v>
      </c>
      <c r="K237" s="52" t="str">
        <f t="shared" si="24"/>
        <v xml:space="preserve">-  </v>
      </c>
      <c r="L237" s="52" t="str">
        <f t="shared" si="25"/>
        <v xml:space="preserve"> --</v>
      </c>
      <c r="M237" s="52" t="str">
        <f t="shared" si="26"/>
        <v>- -</v>
      </c>
      <c r="N237" s="19"/>
      <c r="O237" s="52" t="e">
        <f t="shared" si="27"/>
        <v>#N/A</v>
      </c>
      <c r="P237" s="52" t="e">
        <f t="shared" si="28"/>
        <v>#N/A</v>
      </c>
    </row>
    <row r="238" spans="3:16" ht="14.4" x14ac:dyDescent="0.3">
      <c r="C238" s="49" t="e">
        <f>VLOOKUP(B238,DAY!$C$2:$D$7,2,FALSE)</f>
        <v>#N/A</v>
      </c>
      <c r="D238" s="17"/>
      <c r="G238"/>
      <c r="H238"/>
      <c r="I238" s="52">
        <v>1</v>
      </c>
      <c r="K238" s="52" t="str">
        <f t="shared" ref="K238" si="29">E238&amp;"-"&amp;A238&amp;" "&amp;H238&amp;" "&amp;G238</f>
        <v xml:space="preserve">-  </v>
      </c>
      <c r="L238" s="52" t="str">
        <f t="shared" ref="L238" si="30">H238&amp;" "&amp;E238&amp;"-"&amp;F238&amp;"-"&amp;G238</f>
        <v xml:space="preserve"> --</v>
      </c>
      <c r="M238" s="52" t="str">
        <f t="shared" ref="M238" si="31">A238&amp;"-"&amp;H238&amp;" "&amp;E238&amp;"-"&amp;F238</f>
        <v>- -</v>
      </c>
      <c r="N238" s="19"/>
      <c r="O238" s="52" t="e">
        <f t="shared" ref="O238" si="32">C238&amp;D238&amp;F238</f>
        <v>#N/A</v>
      </c>
      <c r="P238" s="52" t="e">
        <f t="shared" ref="P238" si="33">C238&amp;D238&amp;G238</f>
        <v>#N/A</v>
      </c>
    </row>
    <row r="239" spans="3:16" ht="14.4" x14ac:dyDescent="0.3">
      <c r="C239" s="49" t="e">
        <f>VLOOKUP(B239,DAY!$C$2:$D$7,2,FALSE)</f>
        <v>#N/A</v>
      </c>
      <c r="D239" s="17"/>
      <c r="G239"/>
      <c r="H239"/>
      <c r="I239" s="52">
        <f t="shared" si="23"/>
        <v>1</v>
      </c>
      <c r="K239" s="52" t="str">
        <f t="shared" si="24"/>
        <v xml:space="preserve">-  </v>
      </c>
      <c r="L239" s="52" t="str">
        <f t="shared" si="25"/>
        <v xml:space="preserve"> --</v>
      </c>
      <c r="M239" s="52" t="str">
        <f t="shared" si="26"/>
        <v>- -</v>
      </c>
      <c r="N239" s="19"/>
      <c r="O239" s="52" t="e">
        <f t="shared" si="27"/>
        <v>#N/A</v>
      </c>
      <c r="P239" s="52" t="e">
        <f t="shared" si="28"/>
        <v>#N/A</v>
      </c>
    </row>
    <row r="240" spans="3:16" ht="14.4" x14ac:dyDescent="0.3">
      <c r="C240" s="49" t="e">
        <f>VLOOKUP(B240,DAY!$C$2:$D$7,2,FALSE)</f>
        <v>#N/A</v>
      </c>
      <c r="D240" s="17"/>
      <c r="G240"/>
      <c r="H240"/>
      <c r="I240" s="52">
        <f t="shared" si="23"/>
        <v>1</v>
      </c>
      <c r="K240" s="52" t="str">
        <f t="shared" si="24"/>
        <v xml:space="preserve">-  </v>
      </c>
      <c r="L240" s="52" t="str">
        <f t="shared" si="25"/>
        <v xml:space="preserve"> --</v>
      </c>
      <c r="M240" s="52" t="str">
        <f t="shared" si="26"/>
        <v>- -</v>
      </c>
      <c r="N240" s="19"/>
      <c r="O240" s="52" t="e">
        <f t="shared" si="27"/>
        <v>#N/A</v>
      </c>
      <c r="P240" s="52" t="e">
        <f t="shared" si="28"/>
        <v>#N/A</v>
      </c>
    </row>
    <row r="241" spans="3:16" ht="14.4" x14ac:dyDescent="0.3">
      <c r="C241" s="49" t="e">
        <f>VLOOKUP(B241,DAY!$C$2:$D$7,2,FALSE)</f>
        <v>#N/A</v>
      </c>
      <c r="D241" s="17"/>
      <c r="G241"/>
      <c r="H241" s="19"/>
      <c r="I241" s="52">
        <v>1</v>
      </c>
      <c r="K241" s="52" t="str">
        <f t="shared" si="24"/>
        <v xml:space="preserve">-  </v>
      </c>
      <c r="L241" s="52" t="str">
        <f t="shared" si="25"/>
        <v xml:space="preserve"> --</v>
      </c>
      <c r="M241" s="52" t="str">
        <f t="shared" si="26"/>
        <v>- -</v>
      </c>
      <c r="N241" s="19"/>
      <c r="O241" s="52" t="e">
        <f t="shared" si="27"/>
        <v>#N/A</v>
      </c>
      <c r="P241" s="52" t="e">
        <f t="shared" si="28"/>
        <v>#N/A</v>
      </c>
    </row>
    <row r="242" spans="3:16" ht="14.4" x14ac:dyDescent="0.3">
      <c r="C242" s="49" t="e">
        <f>VLOOKUP(B242,DAY!$C$2:$D$7,2,FALSE)</f>
        <v>#N/A</v>
      </c>
      <c r="D242" s="17"/>
      <c r="G242"/>
      <c r="H242" s="19"/>
      <c r="I242" s="52">
        <v>1</v>
      </c>
      <c r="K242" s="52" t="str">
        <f t="shared" si="24"/>
        <v xml:space="preserve">-  </v>
      </c>
      <c r="L242" s="52" t="str">
        <f t="shared" si="25"/>
        <v xml:space="preserve"> --</v>
      </c>
      <c r="M242" s="52" t="str">
        <f t="shared" si="26"/>
        <v>- -</v>
      </c>
      <c r="N242" s="19"/>
      <c r="O242" s="52" t="e">
        <f t="shared" si="27"/>
        <v>#N/A</v>
      </c>
      <c r="P242" s="52" t="e">
        <f t="shared" si="28"/>
        <v>#N/A</v>
      </c>
    </row>
    <row r="243" spans="3:16" ht="14.4" x14ac:dyDescent="0.3">
      <c r="C243" s="49" t="e">
        <f>VLOOKUP(B243,DAY!$C$2:$D$7,2,FALSE)</f>
        <v>#N/A</v>
      </c>
      <c r="D243" s="17"/>
      <c r="G243"/>
      <c r="H243"/>
      <c r="I243" s="52">
        <f t="shared" ref="I243:I244" si="34">IF(H243="",1,2)</f>
        <v>1</v>
      </c>
      <c r="K243" s="52" t="str">
        <f t="shared" si="24"/>
        <v xml:space="preserve">-  </v>
      </c>
      <c r="L243" s="52" t="str">
        <f t="shared" si="25"/>
        <v xml:space="preserve"> --</v>
      </c>
      <c r="M243" s="52" t="str">
        <f t="shared" si="26"/>
        <v>- -</v>
      </c>
      <c r="N243" s="19"/>
      <c r="O243" s="52" t="e">
        <f t="shared" si="27"/>
        <v>#N/A</v>
      </c>
      <c r="P243" s="52" t="e">
        <f t="shared" si="28"/>
        <v>#N/A</v>
      </c>
    </row>
    <row r="244" spans="3:16" ht="14.4" x14ac:dyDescent="0.3">
      <c r="C244" s="49" t="e">
        <f>VLOOKUP(B244,DAY!$C$2:$D$7,2,FALSE)</f>
        <v>#N/A</v>
      </c>
      <c r="D244" s="17"/>
      <c r="G244"/>
      <c r="H244"/>
      <c r="I244" s="52">
        <f t="shared" si="34"/>
        <v>1</v>
      </c>
      <c r="K244" s="52" t="str">
        <f t="shared" ref="K244" si="35">E244&amp;"-"&amp;A244&amp;" "&amp;H244&amp;" "&amp;G244</f>
        <v xml:space="preserve">-  </v>
      </c>
      <c r="L244" s="52" t="str">
        <f t="shared" ref="L244" si="36">H244&amp;" "&amp;E244&amp;"-"&amp;F244&amp;"-"&amp;G244</f>
        <v xml:space="preserve"> --</v>
      </c>
      <c r="M244" s="52" t="str">
        <f t="shared" ref="M244" si="37">A244&amp;"-"&amp;H244&amp;" "&amp;E244&amp;"-"&amp;F244</f>
        <v>- -</v>
      </c>
      <c r="N244" s="19"/>
      <c r="O244" s="52" t="e">
        <f t="shared" ref="O244" si="38">C244&amp;D244&amp;F244</f>
        <v>#N/A</v>
      </c>
      <c r="P244" s="52" t="e">
        <f t="shared" ref="P244" si="39">C244&amp;D244&amp;G244</f>
        <v>#N/A</v>
      </c>
    </row>
    <row r="245" spans="3:16" ht="14.4" x14ac:dyDescent="0.3">
      <c r="C245" s="49" t="e">
        <f>VLOOKUP(B245,DAY!$C$2:$D$7,2,FALSE)</f>
        <v>#N/A</v>
      </c>
      <c r="D245" s="17"/>
      <c r="G245"/>
      <c r="H245"/>
      <c r="I245" s="52">
        <f t="shared" si="23"/>
        <v>1</v>
      </c>
      <c r="K245" s="52" t="str">
        <f t="shared" si="24"/>
        <v xml:space="preserve">-  </v>
      </c>
      <c r="L245" s="52" t="str">
        <f t="shared" si="25"/>
        <v xml:space="preserve"> --</v>
      </c>
      <c r="M245" s="52" t="str">
        <f t="shared" si="26"/>
        <v>- -</v>
      </c>
      <c r="N245" s="19"/>
      <c r="O245" s="52" t="e">
        <f t="shared" si="27"/>
        <v>#N/A</v>
      </c>
      <c r="P245" s="52" t="e">
        <f t="shared" si="28"/>
        <v>#N/A</v>
      </c>
    </row>
    <row r="246" spans="3:16" ht="14.4" x14ac:dyDescent="0.3">
      <c r="C246" s="49" t="e">
        <f>VLOOKUP(B246,DAY!$C$2:$D$7,2,FALSE)</f>
        <v>#N/A</v>
      </c>
      <c r="D246" s="17"/>
      <c r="G246" s="19"/>
      <c r="H246" s="19"/>
      <c r="I246" s="52">
        <f t="shared" si="23"/>
        <v>1</v>
      </c>
      <c r="K246" s="52" t="str">
        <f t="shared" si="24"/>
        <v xml:space="preserve">-  </v>
      </c>
      <c r="L246" s="52" t="str">
        <f t="shared" si="25"/>
        <v xml:space="preserve"> --</v>
      </c>
      <c r="M246" s="52" t="str">
        <f t="shared" si="26"/>
        <v>- -</v>
      </c>
      <c r="N246" s="19"/>
      <c r="O246" s="52" t="e">
        <f t="shared" si="27"/>
        <v>#N/A</v>
      </c>
      <c r="P246" s="52" t="e">
        <f t="shared" si="28"/>
        <v>#N/A</v>
      </c>
    </row>
    <row r="247" spans="3:16" ht="14.4" x14ac:dyDescent="0.3">
      <c r="C247" s="49" t="e">
        <f>VLOOKUP(B247,DAY!$C$2:$D$7,2,FALSE)</f>
        <v>#N/A</v>
      </c>
      <c r="D247" s="17"/>
      <c r="G247" s="19"/>
      <c r="H247" s="19"/>
      <c r="I247" s="52">
        <f t="shared" si="23"/>
        <v>1</v>
      </c>
      <c r="K247" s="52" t="str">
        <f t="shared" si="24"/>
        <v xml:space="preserve">-  </v>
      </c>
      <c r="L247" s="52" t="str">
        <f t="shared" si="25"/>
        <v xml:space="preserve"> --</v>
      </c>
      <c r="M247" s="52" t="str">
        <f t="shared" si="26"/>
        <v>- -</v>
      </c>
      <c r="N247" s="19"/>
      <c r="O247" s="52" t="e">
        <f t="shared" si="27"/>
        <v>#N/A</v>
      </c>
      <c r="P247" s="52" t="e">
        <f t="shared" si="28"/>
        <v>#N/A</v>
      </c>
    </row>
    <row r="248" spans="3:16" ht="14.4" x14ac:dyDescent="0.3">
      <c r="C248" s="49" t="e">
        <f>VLOOKUP(B248,DAY!$C$2:$D$7,2,FALSE)</f>
        <v>#N/A</v>
      </c>
      <c r="D248" s="17"/>
      <c r="G248" s="19"/>
      <c r="H248" s="19"/>
      <c r="I248" s="52">
        <f t="shared" si="23"/>
        <v>1</v>
      </c>
      <c r="K248" s="52" t="str">
        <f t="shared" si="24"/>
        <v xml:space="preserve">-  </v>
      </c>
      <c r="L248" s="52" t="str">
        <f t="shared" si="25"/>
        <v xml:space="preserve"> --</v>
      </c>
      <c r="M248" s="52" t="str">
        <f t="shared" si="26"/>
        <v>- -</v>
      </c>
      <c r="N248" s="19"/>
      <c r="O248" s="52" t="e">
        <f t="shared" si="27"/>
        <v>#N/A</v>
      </c>
      <c r="P248" s="52" t="e">
        <f t="shared" si="28"/>
        <v>#N/A</v>
      </c>
    </row>
    <row r="249" spans="3:16" ht="14.4" x14ac:dyDescent="0.3">
      <c r="C249" s="49" t="e">
        <f>VLOOKUP(B249,DAY!$C$2:$D$7,2,FALSE)</f>
        <v>#N/A</v>
      </c>
      <c r="D249" s="17"/>
      <c r="G249"/>
      <c r="H249"/>
      <c r="I249" s="52">
        <f t="shared" si="23"/>
        <v>1</v>
      </c>
      <c r="K249" s="52" t="str">
        <f t="shared" si="24"/>
        <v xml:space="preserve">-  </v>
      </c>
      <c r="L249" s="52" t="str">
        <f t="shared" si="25"/>
        <v xml:space="preserve"> --</v>
      </c>
      <c r="M249" s="52" t="str">
        <f t="shared" si="26"/>
        <v>- -</v>
      </c>
      <c r="N249" s="19"/>
      <c r="O249" s="52" t="e">
        <f t="shared" si="27"/>
        <v>#N/A</v>
      </c>
      <c r="P249" s="52" t="e">
        <f t="shared" si="28"/>
        <v>#N/A</v>
      </c>
    </row>
    <row r="250" spans="3:16" ht="14.4" x14ac:dyDescent="0.3">
      <c r="C250" s="49" t="e">
        <f>VLOOKUP(B250,DAY!$C$2:$D$7,2,FALSE)</f>
        <v>#N/A</v>
      </c>
      <c r="D250" s="17"/>
      <c r="G250"/>
      <c r="H250"/>
      <c r="I250" s="52">
        <f t="shared" si="23"/>
        <v>1</v>
      </c>
      <c r="K250" s="52" t="str">
        <f t="shared" si="24"/>
        <v xml:space="preserve">-  </v>
      </c>
      <c r="L250" s="52" t="str">
        <f t="shared" si="25"/>
        <v xml:space="preserve"> --</v>
      </c>
      <c r="M250" s="52" t="str">
        <f t="shared" si="26"/>
        <v>- -</v>
      </c>
      <c r="N250" s="19"/>
      <c r="O250" s="52" t="e">
        <f t="shared" si="27"/>
        <v>#N/A</v>
      </c>
      <c r="P250" s="52" t="e">
        <f t="shared" si="28"/>
        <v>#N/A</v>
      </c>
    </row>
    <row r="251" spans="3:16" ht="14.4" x14ac:dyDescent="0.3">
      <c r="C251" s="49" t="e">
        <f>VLOOKUP(B251,DAY!$C$2:$D$7,2,FALSE)</f>
        <v>#N/A</v>
      </c>
      <c r="D251" s="17"/>
      <c r="G251"/>
      <c r="H251"/>
      <c r="I251" s="52">
        <f t="shared" si="23"/>
        <v>1</v>
      </c>
      <c r="K251" s="52" t="str">
        <f t="shared" si="24"/>
        <v xml:space="preserve">-  </v>
      </c>
      <c r="L251" s="52" t="str">
        <f t="shared" si="25"/>
        <v xml:space="preserve"> --</v>
      </c>
      <c r="M251" s="52" t="str">
        <f t="shared" si="26"/>
        <v>- -</v>
      </c>
      <c r="N251" s="19"/>
      <c r="O251" s="52" t="e">
        <f t="shared" si="27"/>
        <v>#N/A</v>
      </c>
      <c r="P251" s="52" t="e">
        <f t="shared" si="28"/>
        <v>#N/A</v>
      </c>
    </row>
    <row r="252" spans="3:16" ht="14.4" x14ac:dyDescent="0.3">
      <c r="C252" s="49" t="e">
        <f>VLOOKUP(B252,DAY!$C$2:$D$7,2,FALSE)</f>
        <v>#N/A</v>
      </c>
      <c r="D252" s="17"/>
      <c r="G252"/>
      <c r="H252"/>
      <c r="I252" s="52">
        <f t="shared" si="23"/>
        <v>1</v>
      </c>
      <c r="K252" s="52" t="str">
        <f t="shared" si="24"/>
        <v xml:space="preserve">-  </v>
      </c>
      <c r="L252" s="52" t="str">
        <f t="shared" si="25"/>
        <v xml:space="preserve"> --</v>
      </c>
      <c r="M252" s="52" t="str">
        <f t="shared" si="26"/>
        <v>- -</v>
      </c>
      <c r="N252" s="19"/>
      <c r="O252" s="52" t="e">
        <f t="shared" si="27"/>
        <v>#N/A</v>
      </c>
      <c r="P252" s="52" t="e">
        <f t="shared" si="28"/>
        <v>#N/A</v>
      </c>
    </row>
    <row r="253" spans="3:16" ht="14.4" x14ac:dyDescent="0.3">
      <c r="C253" s="49" t="e">
        <f>VLOOKUP(B253,DAY!$C$2:$D$7,2,FALSE)</f>
        <v>#N/A</v>
      </c>
      <c r="D253" s="17"/>
      <c r="G253"/>
      <c r="H253"/>
      <c r="I253" s="52">
        <f t="shared" si="23"/>
        <v>1</v>
      </c>
      <c r="K253" s="52" t="str">
        <f t="shared" si="24"/>
        <v xml:space="preserve">-  </v>
      </c>
      <c r="L253" s="52" t="str">
        <f t="shared" si="25"/>
        <v xml:space="preserve"> --</v>
      </c>
      <c r="M253" s="52" t="str">
        <f t="shared" si="26"/>
        <v>- -</v>
      </c>
      <c r="N253" s="19"/>
      <c r="O253" s="52" t="e">
        <f t="shared" si="27"/>
        <v>#N/A</v>
      </c>
      <c r="P253" s="52" t="e">
        <f t="shared" si="28"/>
        <v>#N/A</v>
      </c>
    </row>
    <row r="254" spans="3:16" ht="14.4" x14ac:dyDescent="0.3">
      <c r="C254" s="49" t="e">
        <f>VLOOKUP(B254,DAY!$C$2:$D$7,2,FALSE)</f>
        <v>#N/A</v>
      </c>
      <c r="D254" s="17"/>
      <c r="G254"/>
      <c r="H254" s="19"/>
      <c r="I254" s="52">
        <f t="shared" si="23"/>
        <v>1</v>
      </c>
      <c r="K254" s="52" t="str">
        <f t="shared" si="24"/>
        <v xml:space="preserve">-  </v>
      </c>
      <c r="L254" s="52" t="str">
        <f t="shared" si="25"/>
        <v xml:space="preserve"> --</v>
      </c>
      <c r="M254" s="52" t="str">
        <f t="shared" si="26"/>
        <v>- -</v>
      </c>
      <c r="N254" s="19"/>
      <c r="O254" s="52" t="e">
        <f t="shared" si="27"/>
        <v>#N/A</v>
      </c>
      <c r="P254" s="52" t="e">
        <f t="shared" si="28"/>
        <v>#N/A</v>
      </c>
    </row>
    <row r="255" spans="3:16" ht="14.4" x14ac:dyDescent="0.3">
      <c r="C255" s="49" t="e">
        <f>VLOOKUP(B255,DAY!$C$2:$D$7,2,FALSE)</f>
        <v>#N/A</v>
      </c>
      <c r="D255" s="17"/>
      <c r="G255" s="19"/>
      <c r="H255" s="19"/>
      <c r="I255" s="52">
        <f t="shared" si="23"/>
        <v>1</v>
      </c>
      <c r="K255" s="52" t="str">
        <f t="shared" si="24"/>
        <v xml:space="preserve">-  </v>
      </c>
      <c r="L255" s="52" t="str">
        <f t="shared" si="25"/>
        <v xml:space="preserve"> --</v>
      </c>
      <c r="M255" s="52" t="str">
        <f t="shared" si="26"/>
        <v>- -</v>
      </c>
      <c r="N255" s="19"/>
      <c r="O255" s="52" t="e">
        <f t="shared" si="27"/>
        <v>#N/A</v>
      </c>
      <c r="P255" s="52" t="e">
        <f t="shared" si="28"/>
        <v>#N/A</v>
      </c>
    </row>
    <row r="256" spans="3:16" ht="14.4" x14ac:dyDescent="0.3">
      <c r="C256" s="49" t="e">
        <f>VLOOKUP(B256,DAY!$C$2:$D$7,2,FALSE)</f>
        <v>#N/A</v>
      </c>
      <c r="D256" s="17"/>
      <c r="G256" s="19"/>
      <c r="H256" s="19"/>
      <c r="I256" s="52">
        <f t="shared" si="23"/>
        <v>1</v>
      </c>
      <c r="K256" s="52" t="str">
        <f t="shared" si="24"/>
        <v xml:space="preserve">-  </v>
      </c>
      <c r="L256" s="52" t="str">
        <f t="shared" si="25"/>
        <v xml:space="preserve"> --</v>
      </c>
      <c r="M256" s="52" t="str">
        <f t="shared" si="26"/>
        <v>- -</v>
      </c>
      <c r="N256" s="19"/>
      <c r="O256" s="52" t="e">
        <f t="shared" si="27"/>
        <v>#N/A</v>
      </c>
      <c r="P256" s="52" t="e">
        <f t="shared" si="28"/>
        <v>#N/A</v>
      </c>
    </row>
    <row r="257" spans="3:16" ht="14.4" x14ac:dyDescent="0.3">
      <c r="C257" s="49" t="e">
        <f>VLOOKUP(B257,DAY!$C$2:$D$7,2,FALSE)</f>
        <v>#N/A</v>
      </c>
      <c r="D257" s="17"/>
      <c r="G257" s="19"/>
      <c r="H257" s="19"/>
      <c r="I257" s="52">
        <f t="shared" si="23"/>
        <v>1</v>
      </c>
      <c r="K257" s="52" t="str">
        <f t="shared" si="24"/>
        <v xml:space="preserve">-  </v>
      </c>
      <c r="L257" s="52" t="str">
        <f t="shared" si="25"/>
        <v xml:space="preserve"> --</v>
      </c>
      <c r="M257" s="52" t="str">
        <f t="shared" si="26"/>
        <v>- -</v>
      </c>
      <c r="N257" s="19"/>
      <c r="O257" s="52" t="e">
        <f t="shared" si="27"/>
        <v>#N/A</v>
      </c>
      <c r="P257" s="52" t="e">
        <f t="shared" si="28"/>
        <v>#N/A</v>
      </c>
    </row>
    <row r="258" spans="3:16" ht="14.4" x14ac:dyDescent="0.3">
      <c r="C258" s="49" t="e">
        <f>VLOOKUP(B258,DAY!$C$2:$D$7,2,FALSE)</f>
        <v>#N/A</v>
      </c>
      <c r="D258" s="17"/>
      <c r="G258"/>
      <c r="H258" s="19"/>
      <c r="I258" s="52">
        <f t="shared" si="23"/>
        <v>1</v>
      </c>
      <c r="K258" s="52" t="str">
        <f t="shared" si="24"/>
        <v xml:space="preserve">-  </v>
      </c>
      <c r="L258" s="52" t="str">
        <f t="shared" si="25"/>
        <v xml:space="preserve"> --</v>
      </c>
      <c r="M258" s="52" t="str">
        <f t="shared" si="26"/>
        <v>- -</v>
      </c>
      <c r="N258" s="19"/>
      <c r="O258" s="52" t="e">
        <f t="shared" si="27"/>
        <v>#N/A</v>
      </c>
      <c r="P258" s="52" t="e">
        <f t="shared" si="28"/>
        <v>#N/A</v>
      </c>
    </row>
    <row r="259" spans="3:16" ht="14.4" x14ac:dyDescent="0.3">
      <c r="C259" s="49" t="e">
        <f>VLOOKUP(B259,DAY!$C$2:$D$7,2,FALSE)</f>
        <v>#N/A</v>
      </c>
      <c r="D259" s="17"/>
      <c r="G259" s="20"/>
      <c r="H259"/>
      <c r="I259" s="52">
        <f t="shared" si="23"/>
        <v>1</v>
      </c>
      <c r="K259" s="52" t="str">
        <f t="shared" si="24"/>
        <v xml:space="preserve">-  </v>
      </c>
      <c r="L259" s="52" t="str">
        <f t="shared" si="25"/>
        <v xml:space="preserve"> --</v>
      </c>
      <c r="M259" s="52" t="str">
        <f t="shared" si="26"/>
        <v>- -</v>
      </c>
      <c r="N259" s="19"/>
      <c r="O259" s="52" t="e">
        <f t="shared" si="27"/>
        <v>#N/A</v>
      </c>
      <c r="P259" s="52" t="e">
        <f t="shared" si="28"/>
        <v>#N/A</v>
      </c>
    </row>
    <row r="260" spans="3:16" ht="14.4" x14ac:dyDescent="0.3">
      <c r="C260" s="49" t="e">
        <f>VLOOKUP(B260,DAY!$C$2:$D$7,2,FALSE)</f>
        <v>#N/A</v>
      </c>
      <c r="D260" s="17"/>
      <c r="G260" s="20"/>
      <c r="H260"/>
      <c r="I260" s="52">
        <f t="shared" si="23"/>
        <v>1</v>
      </c>
      <c r="K260" s="52" t="str">
        <f t="shared" si="24"/>
        <v xml:space="preserve">-  </v>
      </c>
      <c r="L260" s="52" t="str">
        <f t="shared" si="25"/>
        <v xml:space="preserve"> --</v>
      </c>
      <c r="M260" s="52" t="str">
        <f t="shared" si="26"/>
        <v>- -</v>
      </c>
      <c r="N260" s="19"/>
      <c r="O260" s="52" t="e">
        <f t="shared" ref="O260:O330" si="40">C260&amp;D260&amp;F260</f>
        <v>#N/A</v>
      </c>
      <c r="P260" s="52" t="e">
        <f t="shared" ref="P260:P330" si="41">C260&amp;D260&amp;G260</f>
        <v>#N/A</v>
      </c>
    </row>
    <row r="261" spans="3:16" ht="14.4" x14ac:dyDescent="0.3">
      <c r="C261" s="49" t="e">
        <f>VLOOKUP(B261,DAY!$C$2:$D$7,2,FALSE)</f>
        <v>#N/A</v>
      </c>
      <c r="D261" s="17"/>
      <c r="G261" s="20"/>
      <c r="H261"/>
      <c r="I261" s="52">
        <f t="shared" si="23"/>
        <v>1</v>
      </c>
      <c r="K261" s="52" t="str">
        <f t="shared" si="24"/>
        <v xml:space="preserve">-  </v>
      </c>
      <c r="L261" s="52" t="str">
        <f t="shared" si="25"/>
        <v xml:space="preserve"> --</v>
      </c>
      <c r="M261" s="52" t="str">
        <f t="shared" si="26"/>
        <v>- -</v>
      </c>
      <c r="N261" s="19"/>
      <c r="O261" s="52" t="e">
        <f t="shared" si="40"/>
        <v>#N/A</v>
      </c>
      <c r="P261" s="52" t="e">
        <f t="shared" si="41"/>
        <v>#N/A</v>
      </c>
    </row>
    <row r="262" spans="3:16" ht="14.4" x14ac:dyDescent="0.3">
      <c r="C262" s="49" t="e">
        <f>VLOOKUP(B262,DAY!$C$2:$D$7,2,FALSE)</f>
        <v>#N/A</v>
      </c>
      <c r="D262" s="17"/>
      <c r="G262"/>
      <c r="H262"/>
      <c r="I262" s="52">
        <f t="shared" ref="I262:I333" si="42">IF(H262="",1,2)</f>
        <v>1</v>
      </c>
      <c r="K262" s="52" t="str">
        <f t="shared" ref="K262:K333" si="43">E262&amp;"-"&amp;A262&amp;" "&amp;H262&amp;" "&amp;G262</f>
        <v xml:space="preserve">-  </v>
      </c>
      <c r="L262" s="52" t="str">
        <f t="shared" ref="L262:L333" si="44">H262&amp;" "&amp;E262&amp;"-"&amp;F262&amp;"-"&amp;G262</f>
        <v xml:space="preserve"> --</v>
      </c>
      <c r="M262" s="52" t="str">
        <f t="shared" ref="M262:M333" si="45">A262&amp;"-"&amp;H262&amp;" "&amp;E262&amp;"-"&amp;F262</f>
        <v>- -</v>
      </c>
      <c r="N262" s="19"/>
      <c r="O262" s="52" t="e">
        <f t="shared" si="40"/>
        <v>#N/A</v>
      </c>
      <c r="P262" s="52" t="e">
        <f t="shared" si="41"/>
        <v>#N/A</v>
      </c>
    </row>
    <row r="263" spans="3:16" ht="14.4" x14ac:dyDescent="0.3">
      <c r="C263" s="49" t="e">
        <f>VLOOKUP(B263,DAY!$C$2:$D$7,2,FALSE)</f>
        <v>#N/A</v>
      </c>
      <c r="D263" s="17"/>
      <c r="G263"/>
      <c r="H263"/>
      <c r="I263" s="52">
        <f t="shared" si="42"/>
        <v>1</v>
      </c>
      <c r="K263" s="52" t="str">
        <f t="shared" si="43"/>
        <v xml:space="preserve">-  </v>
      </c>
      <c r="L263" s="52" t="str">
        <f t="shared" si="44"/>
        <v xml:space="preserve"> --</v>
      </c>
      <c r="M263" s="52" t="str">
        <f t="shared" si="45"/>
        <v>- -</v>
      </c>
      <c r="N263" s="19"/>
      <c r="O263" s="52" t="e">
        <f t="shared" si="40"/>
        <v>#N/A</v>
      </c>
      <c r="P263" s="52" t="e">
        <f t="shared" si="41"/>
        <v>#N/A</v>
      </c>
    </row>
    <row r="264" spans="3:16" ht="14.4" x14ac:dyDescent="0.3">
      <c r="C264" s="49" t="e">
        <f>VLOOKUP(B264,DAY!$C$2:$D$7,2,FALSE)</f>
        <v>#N/A</v>
      </c>
      <c r="D264" s="17"/>
      <c r="G264"/>
      <c r="H264"/>
      <c r="I264" s="52">
        <f t="shared" si="42"/>
        <v>1</v>
      </c>
      <c r="K264" s="52" t="str">
        <f t="shared" si="43"/>
        <v xml:space="preserve">-  </v>
      </c>
      <c r="L264" s="52" t="str">
        <f t="shared" si="44"/>
        <v xml:space="preserve"> --</v>
      </c>
      <c r="M264" s="52" t="str">
        <f t="shared" si="45"/>
        <v>- -</v>
      </c>
      <c r="N264" s="19"/>
      <c r="O264" s="52" t="e">
        <f t="shared" si="40"/>
        <v>#N/A</v>
      </c>
      <c r="P264" s="52" t="e">
        <f t="shared" si="41"/>
        <v>#N/A</v>
      </c>
    </row>
    <row r="265" spans="3:16" ht="14.4" x14ac:dyDescent="0.3">
      <c r="C265" s="49" t="e">
        <f>VLOOKUP(B265,DAY!$C$2:$D$7,2,FALSE)</f>
        <v>#N/A</v>
      </c>
      <c r="D265" s="17"/>
      <c r="G265"/>
      <c r="H265"/>
      <c r="I265" s="52">
        <v>1</v>
      </c>
      <c r="K265" s="52" t="str">
        <f t="shared" ref="K265" si="46">E265&amp;"-"&amp;A265&amp;" "&amp;H265&amp;" "&amp;G265</f>
        <v xml:space="preserve">-  </v>
      </c>
      <c r="L265" s="52" t="str">
        <f t="shared" ref="L265" si="47">H265&amp;" "&amp;E265&amp;"-"&amp;F265&amp;"-"&amp;G265</f>
        <v xml:space="preserve"> --</v>
      </c>
      <c r="M265" s="52" t="str">
        <f t="shared" ref="M265" si="48">A265&amp;"-"&amp;H265&amp;" "&amp;E265&amp;"-"&amp;F265</f>
        <v>- -</v>
      </c>
      <c r="N265" s="19"/>
      <c r="O265" s="52" t="e">
        <f t="shared" ref="O265" si="49">C265&amp;D265&amp;F265</f>
        <v>#N/A</v>
      </c>
      <c r="P265" s="52" t="e">
        <f t="shared" ref="P265" si="50">C265&amp;D265&amp;G265</f>
        <v>#N/A</v>
      </c>
    </row>
    <row r="266" spans="3:16" ht="14.4" x14ac:dyDescent="0.3">
      <c r="C266" s="49" t="e">
        <f>VLOOKUP(B266,DAY!$C$2:$D$7,2,FALSE)</f>
        <v>#N/A</v>
      </c>
      <c r="D266" s="17"/>
      <c r="G266"/>
      <c r="H266"/>
      <c r="I266" s="52">
        <v>1</v>
      </c>
      <c r="K266" s="52" t="str">
        <f t="shared" ref="K266" si="51">E266&amp;"-"&amp;A266&amp;" "&amp;H266&amp;" "&amp;G266</f>
        <v xml:space="preserve">-  </v>
      </c>
      <c r="L266" s="52" t="str">
        <f t="shared" ref="L266" si="52">H266&amp;" "&amp;E266&amp;"-"&amp;F266&amp;"-"&amp;G266</f>
        <v xml:space="preserve"> --</v>
      </c>
      <c r="M266" s="52" t="str">
        <f t="shared" ref="M266" si="53">A266&amp;"-"&amp;H266&amp;" "&amp;E266&amp;"-"&amp;F266</f>
        <v>- -</v>
      </c>
      <c r="N266" s="19"/>
      <c r="O266" s="52" t="e">
        <f t="shared" ref="O266" si="54">C266&amp;D266&amp;F266</f>
        <v>#N/A</v>
      </c>
      <c r="P266" s="52" t="e">
        <f t="shared" ref="P266" si="55">C266&amp;D266&amp;G266</f>
        <v>#N/A</v>
      </c>
    </row>
    <row r="267" spans="3:16" ht="14.4" x14ac:dyDescent="0.3">
      <c r="C267" s="49" t="e">
        <f>VLOOKUP(B267,DAY!$C$2:$D$7,2,FALSE)</f>
        <v>#N/A</v>
      </c>
      <c r="D267" s="17"/>
      <c r="G267"/>
      <c r="H267"/>
      <c r="I267" s="52">
        <v>1</v>
      </c>
      <c r="K267" s="52" t="str">
        <f t="shared" si="43"/>
        <v xml:space="preserve">-  </v>
      </c>
      <c r="L267" s="52" t="str">
        <f t="shared" si="44"/>
        <v xml:space="preserve"> --</v>
      </c>
      <c r="M267" s="52" t="str">
        <f t="shared" si="45"/>
        <v>- -</v>
      </c>
      <c r="N267" s="19"/>
      <c r="O267" s="52" t="e">
        <f t="shared" si="40"/>
        <v>#N/A</v>
      </c>
      <c r="P267" s="52" t="e">
        <f t="shared" si="41"/>
        <v>#N/A</v>
      </c>
    </row>
    <row r="268" spans="3:16" ht="14.4" x14ac:dyDescent="0.3">
      <c r="C268" s="49" t="e">
        <f>VLOOKUP(B268,DAY!$C$2:$D$7,2,FALSE)</f>
        <v>#N/A</v>
      </c>
      <c r="D268" s="17"/>
      <c r="G268"/>
      <c r="H268"/>
      <c r="I268" s="52">
        <v>1</v>
      </c>
      <c r="K268" s="52" t="str">
        <f t="shared" ref="K268" si="56">E268&amp;"-"&amp;A268&amp;" "&amp;H268&amp;" "&amp;G268</f>
        <v xml:space="preserve">-  </v>
      </c>
      <c r="L268" s="52" t="str">
        <f t="shared" ref="L268" si="57">H268&amp;" "&amp;E268&amp;"-"&amp;F268&amp;"-"&amp;G268</f>
        <v xml:space="preserve"> --</v>
      </c>
      <c r="M268" s="52" t="str">
        <f t="shared" ref="M268" si="58">A268&amp;"-"&amp;H268&amp;" "&amp;E268&amp;"-"&amp;F268</f>
        <v>- -</v>
      </c>
      <c r="N268" s="19"/>
      <c r="O268" s="52" t="e">
        <f t="shared" si="40"/>
        <v>#N/A</v>
      </c>
      <c r="P268" s="52" t="e">
        <f t="shared" si="41"/>
        <v>#N/A</v>
      </c>
    </row>
    <row r="269" spans="3:16" ht="14.4" x14ac:dyDescent="0.3">
      <c r="C269" s="49" t="e">
        <f>VLOOKUP(B269,DAY!$C$2:$D$7,2,FALSE)</f>
        <v>#N/A</v>
      </c>
      <c r="D269" s="17"/>
      <c r="G269"/>
      <c r="H269"/>
      <c r="I269" s="52">
        <v>1</v>
      </c>
      <c r="K269" s="52" t="str">
        <f t="shared" ref="K269" si="59">E269&amp;"-"&amp;A269&amp;" "&amp;H269&amp;" "&amp;G269</f>
        <v xml:space="preserve">-  </v>
      </c>
      <c r="L269" s="52" t="str">
        <f t="shared" ref="L269" si="60">H269&amp;" "&amp;E269&amp;"-"&amp;F269&amp;"-"&amp;G269</f>
        <v xml:space="preserve"> --</v>
      </c>
      <c r="M269" s="52" t="str">
        <f t="shared" ref="M269" si="61">A269&amp;"-"&amp;H269&amp;" "&amp;E269&amp;"-"&amp;F269</f>
        <v>- -</v>
      </c>
      <c r="N269" s="19"/>
      <c r="O269" s="52" t="e">
        <f t="shared" si="40"/>
        <v>#N/A</v>
      </c>
      <c r="P269" s="52" t="e">
        <f t="shared" si="41"/>
        <v>#N/A</v>
      </c>
    </row>
    <row r="270" spans="3:16" ht="14.4" x14ac:dyDescent="0.3">
      <c r="C270" s="49" t="e">
        <f>VLOOKUP(B270,DAY!$C$2:$D$7,2,FALSE)</f>
        <v>#N/A</v>
      </c>
      <c r="D270" s="17"/>
      <c r="G270" s="20"/>
      <c r="H270"/>
      <c r="I270" s="52">
        <f t="shared" si="42"/>
        <v>1</v>
      </c>
      <c r="K270" s="52" t="str">
        <f t="shared" si="43"/>
        <v xml:space="preserve">-  </v>
      </c>
      <c r="L270" s="52" t="str">
        <f t="shared" si="44"/>
        <v xml:space="preserve"> --</v>
      </c>
      <c r="M270" s="52" t="str">
        <f t="shared" si="45"/>
        <v>- -</v>
      </c>
      <c r="N270" s="19"/>
      <c r="O270" s="52" t="e">
        <f t="shared" si="40"/>
        <v>#N/A</v>
      </c>
      <c r="P270" s="52" t="e">
        <f t="shared" si="41"/>
        <v>#N/A</v>
      </c>
    </row>
    <row r="271" spans="3:16" ht="14.4" x14ac:dyDescent="0.3">
      <c r="C271" s="49" t="e">
        <f>VLOOKUP(B271,DAY!$C$2:$D$7,2,FALSE)</f>
        <v>#N/A</v>
      </c>
      <c r="D271" s="17"/>
      <c r="G271" s="20"/>
      <c r="H271"/>
      <c r="I271" s="52">
        <f t="shared" si="42"/>
        <v>1</v>
      </c>
      <c r="K271" s="52" t="str">
        <f t="shared" si="43"/>
        <v xml:space="preserve">-  </v>
      </c>
      <c r="L271" s="52" t="str">
        <f t="shared" si="44"/>
        <v xml:space="preserve"> --</v>
      </c>
      <c r="M271" s="52" t="str">
        <f t="shared" si="45"/>
        <v>- -</v>
      </c>
      <c r="N271" s="19"/>
      <c r="O271" s="52" t="e">
        <f t="shared" si="40"/>
        <v>#N/A</v>
      </c>
      <c r="P271" s="52" t="e">
        <f t="shared" si="41"/>
        <v>#N/A</v>
      </c>
    </row>
    <row r="272" spans="3:16" ht="14.4" x14ac:dyDescent="0.3">
      <c r="C272" s="49" t="e">
        <f>VLOOKUP(B272,DAY!$C$2:$D$7,2,FALSE)</f>
        <v>#N/A</v>
      </c>
      <c r="D272" s="17"/>
      <c r="G272" s="20"/>
      <c r="H272"/>
      <c r="I272" s="52">
        <f t="shared" si="42"/>
        <v>1</v>
      </c>
      <c r="K272" s="52" t="str">
        <f t="shared" si="43"/>
        <v xml:space="preserve">-  </v>
      </c>
      <c r="L272" s="52" t="str">
        <f t="shared" si="44"/>
        <v xml:space="preserve"> --</v>
      </c>
      <c r="M272" s="52" t="str">
        <f t="shared" si="45"/>
        <v>- -</v>
      </c>
      <c r="N272" s="19"/>
      <c r="O272" s="52" t="e">
        <f t="shared" si="40"/>
        <v>#N/A</v>
      </c>
      <c r="P272" s="52" t="e">
        <f t="shared" si="41"/>
        <v>#N/A</v>
      </c>
    </row>
    <row r="273" spans="3:16" ht="14.4" x14ac:dyDescent="0.3">
      <c r="C273" s="49" t="e">
        <f>VLOOKUP(B273,DAY!$C$2:$D$7,2,FALSE)</f>
        <v>#N/A</v>
      </c>
      <c r="D273" s="17"/>
      <c r="G273"/>
      <c r="H273"/>
      <c r="I273" s="52">
        <f t="shared" si="42"/>
        <v>1</v>
      </c>
      <c r="K273" s="52" t="str">
        <f t="shared" si="43"/>
        <v xml:space="preserve">-  </v>
      </c>
      <c r="L273" s="52" t="str">
        <f t="shared" si="44"/>
        <v xml:space="preserve"> --</v>
      </c>
      <c r="M273" s="52" t="str">
        <f t="shared" si="45"/>
        <v>- -</v>
      </c>
      <c r="N273" s="19"/>
      <c r="O273" s="52" t="e">
        <f t="shared" si="40"/>
        <v>#N/A</v>
      </c>
      <c r="P273" s="52" t="e">
        <f t="shared" si="41"/>
        <v>#N/A</v>
      </c>
    </row>
    <row r="274" spans="3:16" ht="14.4" x14ac:dyDescent="0.3">
      <c r="C274" s="49" t="e">
        <f>VLOOKUP(B274,DAY!$C$2:$D$7,2,FALSE)</f>
        <v>#N/A</v>
      </c>
      <c r="D274" s="17"/>
      <c r="G274"/>
      <c r="H274" s="19"/>
      <c r="I274" s="52">
        <f t="shared" si="42"/>
        <v>1</v>
      </c>
      <c r="K274" s="52" t="str">
        <f t="shared" si="43"/>
        <v xml:space="preserve">-  </v>
      </c>
      <c r="L274" s="52" t="str">
        <f t="shared" si="44"/>
        <v xml:space="preserve"> --</v>
      </c>
      <c r="M274" s="52" t="str">
        <f t="shared" si="45"/>
        <v>- -</v>
      </c>
      <c r="N274" s="19"/>
      <c r="O274" s="52" t="e">
        <f t="shared" si="40"/>
        <v>#N/A</v>
      </c>
      <c r="P274" s="52" t="e">
        <f t="shared" si="41"/>
        <v>#N/A</v>
      </c>
    </row>
    <row r="275" spans="3:16" ht="14.4" x14ac:dyDescent="0.3">
      <c r="C275" s="49" t="e">
        <f>VLOOKUP(B275,DAY!$C$2:$D$7,2,FALSE)</f>
        <v>#N/A</v>
      </c>
      <c r="D275" s="17"/>
      <c r="G275"/>
      <c r="H275" s="19"/>
      <c r="I275" s="52">
        <f t="shared" si="42"/>
        <v>1</v>
      </c>
      <c r="K275" s="52" t="str">
        <f t="shared" si="43"/>
        <v xml:space="preserve">-  </v>
      </c>
      <c r="L275" s="52" t="str">
        <f t="shared" si="44"/>
        <v xml:space="preserve"> --</v>
      </c>
      <c r="M275" s="52" t="str">
        <f t="shared" si="45"/>
        <v>- -</v>
      </c>
      <c r="N275" s="19"/>
      <c r="O275" s="52" t="e">
        <f t="shared" si="40"/>
        <v>#N/A</v>
      </c>
      <c r="P275" s="52" t="e">
        <f t="shared" si="41"/>
        <v>#N/A</v>
      </c>
    </row>
    <row r="276" spans="3:16" ht="14.4" x14ac:dyDescent="0.3">
      <c r="C276" s="49" t="e">
        <f>VLOOKUP(B276,DAY!$C$2:$D$7,2,FALSE)</f>
        <v>#N/A</v>
      </c>
      <c r="D276" s="17"/>
      <c r="G276"/>
      <c r="H276" s="19"/>
      <c r="I276" s="52">
        <f t="shared" si="42"/>
        <v>1</v>
      </c>
      <c r="K276" s="52" t="str">
        <f t="shared" si="43"/>
        <v xml:space="preserve">-  </v>
      </c>
      <c r="L276" s="52" t="str">
        <f t="shared" si="44"/>
        <v xml:space="preserve"> --</v>
      </c>
      <c r="M276" s="52" t="str">
        <f t="shared" si="45"/>
        <v>- -</v>
      </c>
      <c r="N276" s="19"/>
      <c r="O276" s="52" t="e">
        <f t="shared" si="40"/>
        <v>#N/A</v>
      </c>
      <c r="P276" s="52" t="e">
        <f t="shared" si="41"/>
        <v>#N/A</v>
      </c>
    </row>
    <row r="277" spans="3:16" ht="14.4" x14ac:dyDescent="0.3">
      <c r="C277" s="49" t="e">
        <f>VLOOKUP(B277,DAY!$C$2:$D$7,2,FALSE)</f>
        <v>#N/A</v>
      </c>
      <c r="D277" s="17"/>
      <c r="G277"/>
      <c r="H277"/>
      <c r="I277" s="52">
        <f t="shared" si="42"/>
        <v>1</v>
      </c>
      <c r="K277" s="52" t="str">
        <f t="shared" si="43"/>
        <v xml:space="preserve">-  </v>
      </c>
      <c r="L277" s="52" t="str">
        <f t="shared" si="44"/>
        <v xml:space="preserve"> --</v>
      </c>
      <c r="M277" s="52" t="str">
        <f t="shared" si="45"/>
        <v>- -</v>
      </c>
      <c r="N277" s="19"/>
      <c r="O277" s="52" t="e">
        <f t="shared" si="40"/>
        <v>#N/A</v>
      </c>
      <c r="P277" s="52" t="e">
        <f t="shared" si="41"/>
        <v>#N/A</v>
      </c>
    </row>
    <row r="278" spans="3:16" ht="14.4" x14ac:dyDescent="0.3">
      <c r="C278" s="49" t="e">
        <f>VLOOKUP(B278,DAY!$C$2:$D$7,2,FALSE)</f>
        <v>#N/A</v>
      </c>
      <c r="D278" s="17"/>
      <c r="G278"/>
      <c r="H278"/>
      <c r="I278" s="52">
        <f t="shared" si="42"/>
        <v>1</v>
      </c>
      <c r="K278" s="52" t="str">
        <f t="shared" si="43"/>
        <v xml:space="preserve">-  </v>
      </c>
      <c r="L278" s="52" t="str">
        <f t="shared" si="44"/>
        <v xml:space="preserve"> --</v>
      </c>
      <c r="M278" s="52" t="str">
        <f t="shared" si="45"/>
        <v>- -</v>
      </c>
      <c r="N278" s="19"/>
      <c r="O278" s="52" t="e">
        <f t="shared" si="40"/>
        <v>#N/A</v>
      </c>
      <c r="P278" s="52" t="e">
        <f t="shared" si="41"/>
        <v>#N/A</v>
      </c>
    </row>
    <row r="279" spans="3:16" ht="14.4" x14ac:dyDescent="0.3">
      <c r="C279" s="49" t="e">
        <f>VLOOKUP(B279,DAY!$C$2:$D$7,2,FALSE)</f>
        <v>#N/A</v>
      </c>
      <c r="D279" s="17"/>
      <c r="G279" s="20"/>
      <c r="H279"/>
      <c r="I279" s="52">
        <f t="shared" si="42"/>
        <v>1</v>
      </c>
      <c r="K279" s="52" t="str">
        <f t="shared" si="43"/>
        <v xml:space="preserve">-  </v>
      </c>
      <c r="L279" s="52" t="str">
        <f t="shared" si="44"/>
        <v xml:space="preserve"> --</v>
      </c>
      <c r="M279" s="52" t="str">
        <f t="shared" si="45"/>
        <v>- -</v>
      </c>
      <c r="N279" s="19"/>
      <c r="O279" s="52" t="e">
        <f t="shared" si="40"/>
        <v>#N/A</v>
      </c>
      <c r="P279" s="52" t="e">
        <f t="shared" si="41"/>
        <v>#N/A</v>
      </c>
    </row>
    <row r="280" spans="3:16" ht="14.4" x14ac:dyDescent="0.3">
      <c r="C280" s="49" t="e">
        <f>VLOOKUP(B280,DAY!$C$2:$D$7,2,FALSE)</f>
        <v>#N/A</v>
      </c>
      <c r="D280" s="17"/>
      <c r="G280" s="20"/>
      <c r="H280"/>
      <c r="I280" s="52">
        <f t="shared" ref="I280" si="62">IF(H280="",1,2)</f>
        <v>1</v>
      </c>
      <c r="K280" s="52" t="str">
        <f t="shared" ref="K280" si="63">E280&amp;"-"&amp;A280&amp;" "&amp;H280&amp;" "&amp;G280</f>
        <v xml:space="preserve">-  </v>
      </c>
      <c r="L280" s="52" t="str">
        <f t="shared" ref="L280" si="64">H280&amp;" "&amp;E280&amp;"-"&amp;F280&amp;"-"&amp;G280</f>
        <v xml:space="preserve"> --</v>
      </c>
      <c r="M280" s="52" t="str">
        <f t="shared" ref="M280" si="65">A280&amp;"-"&amp;H280&amp;" "&amp;E280&amp;"-"&amp;F280</f>
        <v>- -</v>
      </c>
      <c r="N280" s="19"/>
      <c r="O280" s="52" t="e">
        <f t="shared" ref="O280" si="66">C280&amp;D280&amp;F280</f>
        <v>#N/A</v>
      </c>
      <c r="P280" s="52" t="e">
        <f t="shared" ref="P280" si="67">C280&amp;D280&amp;G280</f>
        <v>#N/A</v>
      </c>
    </row>
    <row r="281" spans="3:16" ht="14.4" x14ac:dyDescent="0.3">
      <c r="C281" s="49" t="e">
        <f>VLOOKUP(B281,DAY!$C$2:$D$7,2,FALSE)</f>
        <v>#N/A</v>
      </c>
      <c r="D281" s="17"/>
      <c r="G281" s="20"/>
      <c r="H281"/>
      <c r="I281" s="52">
        <f t="shared" si="42"/>
        <v>1</v>
      </c>
      <c r="K281" s="52" t="str">
        <f t="shared" si="43"/>
        <v xml:space="preserve">-  </v>
      </c>
      <c r="L281" s="52" t="str">
        <f t="shared" si="44"/>
        <v xml:space="preserve"> --</v>
      </c>
      <c r="M281" s="52" t="str">
        <f t="shared" si="45"/>
        <v>- -</v>
      </c>
      <c r="N281" s="19"/>
      <c r="O281" s="52" t="e">
        <f t="shared" si="40"/>
        <v>#N/A</v>
      </c>
      <c r="P281" s="52" t="e">
        <f t="shared" si="41"/>
        <v>#N/A</v>
      </c>
    </row>
    <row r="282" spans="3:16" ht="14.4" x14ac:dyDescent="0.3">
      <c r="C282" s="49" t="e">
        <f>VLOOKUP(B282,DAY!$C$2:$D$7,2,FALSE)</f>
        <v>#N/A</v>
      </c>
      <c r="D282" s="17"/>
      <c r="G282"/>
      <c r="H282"/>
      <c r="I282" s="52">
        <f t="shared" si="42"/>
        <v>1</v>
      </c>
      <c r="K282" s="52" t="str">
        <f t="shared" si="43"/>
        <v xml:space="preserve">-  </v>
      </c>
      <c r="L282" s="52" t="str">
        <f t="shared" si="44"/>
        <v xml:space="preserve"> --</v>
      </c>
      <c r="M282" s="52" t="str">
        <f t="shared" si="45"/>
        <v>- -</v>
      </c>
      <c r="N282" s="19"/>
      <c r="O282" s="52" t="e">
        <f t="shared" si="40"/>
        <v>#N/A</v>
      </c>
      <c r="P282" s="52" t="e">
        <f t="shared" si="41"/>
        <v>#N/A</v>
      </c>
    </row>
    <row r="283" spans="3:16" ht="14.4" x14ac:dyDescent="0.3">
      <c r="C283" s="49" t="e">
        <f>VLOOKUP(B283,DAY!$C$2:$D$7,2,FALSE)</f>
        <v>#N/A</v>
      </c>
      <c r="D283" s="17"/>
      <c r="G283"/>
      <c r="H283"/>
      <c r="I283" s="52">
        <f t="shared" si="42"/>
        <v>1</v>
      </c>
      <c r="K283" s="52" t="str">
        <f t="shared" si="43"/>
        <v xml:space="preserve">-  </v>
      </c>
      <c r="L283" s="52" t="str">
        <f t="shared" si="44"/>
        <v xml:space="preserve"> --</v>
      </c>
      <c r="M283" s="52" t="str">
        <f t="shared" si="45"/>
        <v>- -</v>
      </c>
      <c r="N283" s="19"/>
      <c r="O283" s="52" t="e">
        <f t="shared" si="40"/>
        <v>#N/A</v>
      </c>
      <c r="P283" s="52" t="e">
        <f t="shared" si="41"/>
        <v>#N/A</v>
      </c>
    </row>
    <row r="284" spans="3:16" ht="14.4" x14ac:dyDescent="0.3">
      <c r="C284" s="49" t="e">
        <f>VLOOKUP(B284,DAY!$C$2:$D$7,2,FALSE)</f>
        <v>#N/A</v>
      </c>
      <c r="D284" s="17"/>
      <c r="G284"/>
      <c r="H284"/>
      <c r="I284" s="52">
        <f t="shared" si="42"/>
        <v>1</v>
      </c>
      <c r="K284" s="52" t="str">
        <f t="shared" si="43"/>
        <v xml:space="preserve">-  </v>
      </c>
      <c r="L284" s="52" t="str">
        <f t="shared" si="44"/>
        <v xml:space="preserve"> --</v>
      </c>
      <c r="M284" s="52" t="str">
        <f t="shared" si="45"/>
        <v>- -</v>
      </c>
      <c r="N284" s="19"/>
      <c r="O284" s="52" t="e">
        <f t="shared" si="40"/>
        <v>#N/A</v>
      </c>
      <c r="P284" s="52" t="e">
        <f t="shared" si="41"/>
        <v>#N/A</v>
      </c>
    </row>
    <row r="285" spans="3:16" ht="14.4" x14ac:dyDescent="0.3">
      <c r="C285" s="49" t="e">
        <f>VLOOKUP(B285,DAY!$C$2:$D$7,2,FALSE)</f>
        <v>#N/A</v>
      </c>
      <c r="D285" s="17"/>
      <c r="G285"/>
      <c r="H285"/>
      <c r="I285" s="52">
        <f t="shared" si="42"/>
        <v>1</v>
      </c>
      <c r="K285" s="52" t="str">
        <f t="shared" si="43"/>
        <v xml:space="preserve">-  </v>
      </c>
      <c r="L285" s="52" t="str">
        <f t="shared" si="44"/>
        <v xml:space="preserve"> --</v>
      </c>
      <c r="M285" s="52" t="str">
        <f t="shared" si="45"/>
        <v>- -</v>
      </c>
      <c r="N285" s="19"/>
      <c r="O285" s="52" t="e">
        <f t="shared" si="40"/>
        <v>#N/A</v>
      </c>
      <c r="P285" s="52" t="e">
        <f t="shared" si="41"/>
        <v>#N/A</v>
      </c>
    </row>
    <row r="286" spans="3:16" ht="14.4" x14ac:dyDescent="0.3">
      <c r="C286" s="49" t="e">
        <f>VLOOKUP(B286,DAY!$C$2:$D$7,2,FALSE)</f>
        <v>#N/A</v>
      </c>
      <c r="D286" s="17"/>
      <c r="G286"/>
      <c r="H286"/>
      <c r="I286" s="52">
        <f t="shared" si="42"/>
        <v>1</v>
      </c>
      <c r="K286" s="52" t="str">
        <f t="shared" si="43"/>
        <v xml:space="preserve">-  </v>
      </c>
      <c r="L286" s="52" t="str">
        <f t="shared" si="44"/>
        <v xml:space="preserve"> --</v>
      </c>
      <c r="M286" s="52" t="str">
        <f t="shared" si="45"/>
        <v>- -</v>
      </c>
      <c r="N286" s="19"/>
      <c r="O286" s="52" t="e">
        <f t="shared" si="40"/>
        <v>#N/A</v>
      </c>
      <c r="P286" s="52" t="e">
        <f t="shared" si="41"/>
        <v>#N/A</v>
      </c>
    </row>
    <row r="287" spans="3:16" ht="14.4" x14ac:dyDescent="0.3">
      <c r="C287" s="49" t="e">
        <f>VLOOKUP(B287,DAY!$C$2:$D$7,2,FALSE)</f>
        <v>#N/A</v>
      </c>
      <c r="D287" s="17"/>
      <c r="G287"/>
      <c r="H287"/>
      <c r="I287" s="52">
        <f t="shared" si="42"/>
        <v>1</v>
      </c>
      <c r="K287" s="52" t="str">
        <f t="shared" si="43"/>
        <v xml:space="preserve">-  </v>
      </c>
      <c r="L287" s="52" t="str">
        <f t="shared" si="44"/>
        <v xml:space="preserve"> --</v>
      </c>
      <c r="M287" s="52" t="str">
        <f t="shared" si="45"/>
        <v>- -</v>
      </c>
      <c r="N287" s="19"/>
      <c r="O287" s="52" t="e">
        <f t="shared" si="40"/>
        <v>#N/A</v>
      </c>
      <c r="P287" s="52" t="e">
        <f t="shared" si="41"/>
        <v>#N/A</v>
      </c>
    </row>
    <row r="288" spans="3:16" ht="14.4" x14ac:dyDescent="0.3">
      <c r="C288" s="49" t="e">
        <f>VLOOKUP(B288,DAY!$C$2:$D$7,2,FALSE)</f>
        <v>#N/A</v>
      </c>
      <c r="D288" s="17"/>
      <c r="G288"/>
      <c r="H288"/>
      <c r="I288" s="52">
        <f t="shared" si="42"/>
        <v>1</v>
      </c>
      <c r="K288" s="52" t="str">
        <f t="shared" si="43"/>
        <v xml:space="preserve">-  </v>
      </c>
      <c r="L288" s="52" t="str">
        <f t="shared" si="44"/>
        <v xml:space="preserve"> --</v>
      </c>
      <c r="M288" s="52" t="str">
        <f t="shared" si="45"/>
        <v>- -</v>
      </c>
      <c r="N288" s="19"/>
      <c r="O288" s="52" t="e">
        <f t="shared" si="40"/>
        <v>#N/A</v>
      </c>
      <c r="P288" s="52" t="e">
        <f t="shared" si="41"/>
        <v>#N/A</v>
      </c>
    </row>
    <row r="289" spans="3:16" ht="14.4" x14ac:dyDescent="0.3">
      <c r="C289" s="49" t="e">
        <f>VLOOKUP(B289,DAY!$C$2:$D$7,2,FALSE)</f>
        <v>#N/A</v>
      </c>
      <c r="D289" s="17"/>
      <c r="G289"/>
      <c r="H289"/>
      <c r="I289" s="52">
        <f t="shared" si="42"/>
        <v>1</v>
      </c>
      <c r="K289" s="52" t="str">
        <f t="shared" si="43"/>
        <v xml:space="preserve">-  </v>
      </c>
      <c r="L289" s="52" t="str">
        <f t="shared" si="44"/>
        <v xml:space="preserve"> --</v>
      </c>
      <c r="M289" s="52" t="str">
        <f t="shared" si="45"/>
        <v>- -</v>
      </c>
      <c r="N289" s="19"/>
      <c r="O289" s="52" t="e">
        <f t="shared" si="40"/>
        <v>#N/A</v>
      </c>
      <c r="P289" s="52" t="e">
        <f t="shared" si="41"/>
        <v>#N/A</v>
      </c>
    </row>
    <row r="290" spans="3:16" ht="14.4" x14ac:dyDescent="0.3">
      <c r="C290" s="49" t="e">
        <f>VLOOKUP(B290,DAY!$C$2:$D$7,2,FALSE)</f>
        <v>#N/A</v>
      </c>
      <c r="D290" s="17"/>
      <c r="G290"/>
      <c r="H290"/>
      <c r="I290" s="52">
        <f t="shared" si="42"/>
        <v>1</v>
      </c>
      <c r="K290" s="52" t="str">
        <f t="shared" si="43"/>
        <v xml:space="preserve">-  </v>
      </c>
      <c r="L290" s="52" t="str">
        <f t="shared" si="44"/>
        <v xml:space="preserve"> --</v>
      </c>
      <c r="M290" s="52" t="str">
        <f t="shared" si="45"/>
        <v>- -</v>
      </c>
      <c r="N290" s="19"/>
      <c r="O290" s="52" t="e">
        <f t="shared" si="40"/>
        <v>#N/A</v>
      </c>
      <c r="P290" s="52" t="e">
        <f t="shared" si="41"/>
        <v>#N/A</v>
      </c>
    </row>
    <row r="291" spans="3:16" ht="14.4" x14ac:dyDescent="0.3">
      <c r="C291" s="49" t="e">
        <f>VLOOKUP(B291,DAY!$C$2:$D$7,2,FALSE)</f>
        <v>#N/A</v>
      </c>
      <c r="D291" s="17"/>
      <c r="G291"/>
      <c r="H291"/>
      <c r="I291" s="52">
        <f t="shared" si="42"/>
        <v>1</v>
      </c>
      <c r="K291" s="52" t="str">
        <f t="shared" ref="K291" si="68">E291&amp;"-"&amp;A291&amp;" "&amp;H291&amp;" "&amp;G291</f>
        <v xml:space="preserve">-  </v>
      </c>
      <c r="L291" s="52" t="str">
        <f t="shared" ref="L291" si="69">H291&amp;" "&amp;E291&amp;"-"&amp;F291&amp;"-"&amp;G291</f>
        <v xml:space="preserve"> --</v>
      </c>
      <c r="M291" s="52" t="str">
        <f t="shared" ref="M291" si="70">A291&amp;"-"&amp;H291&amp;" "&amp;E291&amp;"-"&amp;F291</f>
        <v>- -</v>
      </c>
      <c r="N291" s="19"/>
      <c r="O291" s="52" t="e">
        <f t="shared" si="40"/>
        <v>#N/A</v>
      </c>
      <c r="P291" s="52" t="e">
        <f t="shared" si="41"/>
        <v>#N/A</v>
      </c>
    </row>
    <row r="292" spans="3:16" ht="14.4" x14ac:dyDescent="0.3">
      <c r="C292" s="49" t="e">
        <f>VLOOKUP(B292,DAY!$C$2:$D$7,2,FALSE)</f>
        <v>#N/A</v>
      </c>
      <c r="D292" s="17"/>
      <c r="G292"/>
      <c r="H292"/>
      <c r="I292" s="52">
        <f t="shared" si="42"/>
        <v>1</v>
      </c>
      <c r="K292" s="52" t="str">
        <f t="shared" ref="K292" si="71">E292&amp;"-"&amp;A292&amp;" "&amp;H292&amp;" "&amp;G292</f>
        <v xml:space="preserve">-  </v>
      </c>
      <c r="L292" s="52" t="str">
        <f t="shared" ref="L292" si="72">H292&amp;" "&amp;E292&amp;"-"&amp;F292&amp;"-"&amp;G292</f>
        <v xml:space="preserve"> --</v>
      </c>
      <c r="M292" s="52" t="str">
        <f t="shared" ref="M292" si="73">A292&amp;"-"&amp;H292&amp;" "&amp;E292&amp;"-"&amp;F292</f>
        <v>- -</v>
      </c>
      <c r="N292" s="19"/>
      <c r="O292" s="52" t="e">
        <f t="shared" si="40"/>
        <v>#N/A</v>
      </c>
      <c r="P292" s="52" t="e">
        <f t="shared" si="41"/>
        <v>#N/A</v>
      </c>
    </row>
    <row r="293" spans="3:16" ht="14.4" x14ac:dyDescent="0.3">
      <c r="C293" s="49" t="e">
        <f>VLOOKUP(B293,DAY!$C$2:$D$7,2,FALSE)</f>
        <v>#N/A</v>
      </c>
      <c r="D293" s="17"/>
      <c r="G293"/>
      <c r="H293"/>
      <c r="I293" s="52">
        <f t="shared" si="42"/>
        <v>1</v>
      </c>
      <c r="K293" s="52" t="str">
        <f t="shared" si="43"/>
        <v xml:space="preserve">-  </v>
      </c>
      <c r="L293" s="52" t="str">
        <f t="shared" si="44"/>
        <v xml:space="preserve"> --</v>
      </c>
      <c r="M293" s="52" t="str">
        <f t="shared" si="45"/>
        <v>- -</v>
      </c>
      <c r="N293" s="19"/>
      <c r="O293" s="52" t="e">
        <f t="shared" si="40"/>
        <v>#N/A</v>
      </c>
      <c r="P293" s="52" t="e">
        <f t="shared" si="41"/>
        <v>#N/A</v>
      </c>
    </row>
    <row r="294" spans="3:16" ht="14.4" x14ac:dyDescent="0.3">
      <c r="C294" s="49" t="e">
        <f>VLOOKUP(B294,DAY!$C$2:$D$7,2,FALSE)</f>
        <v>#N/A</v>
      </c>
      <c r="D294" s="17"/>
      <c r="G294"/>
      <c r="H294"/>
      <c r="I294" s="52">
        <f t="shared" si="42"/>
        <v>1</v>
      </c>
      <c r="K294" s="52" t="str">
        <f t="shared" si="43"/>
        <v xml:space="preserve">-  </v>
      </c>
      <c r="L294" s="52" t="str">
        <f t="shared" si="44"/>
        <v xml:space="preserve"> --</v>
      </c>
      <c r="M294" s="52" t="str">
        <f t="shared" si="45"/>
        <v>- -</v>
      </c>
      <c r="N294" s="19"/>
      <c r="O294" s="52" t="e">
        <f t="shared" si="40"/>
        <v>#N/A</v>
      </c>
      <c r="P294" s="52" t="e">
        <f t="shared" si="41"/>
        <v>#N/A</v>
      </c>
    </row>
    <row r="295" spans="3:16" ht="14.4" x14ac:dyDescent="0.3">
      <c r="C295" s="49" t="e">
        <f>VLOOKUP(B295,DAY!$C$2:$D$7,2,FALSE)</f>
        <v>#N/A</v>
      </c>
      <c r="D295" s="17"/>
      <c r="G295"/>
      <c r="H295" s="19"/>
      <c r="I295" s="52">
        <f t="shared" si="42"/>
        <v>1</v>
      </c>
      <c r="K295" s="52" t="str">
        <f t="shared" si="43"/>
        <v xml:space="preserve">-  </v>
      </c>
      <c r="L295" s="52" t="str">
        <f t="shared" si="44"/>
        <v xml:space="preserve"> --</v>
      </c>
      <c r="M295" s="52" t="str">
        <f t="shared" si="45"/>
        <v>- -</v>
      </c>
      <c r="N295" s="19"/>
      <c r="O295" s="52" t="e">
        <f t="shared" si="40"/>
        <v>#N/A</v>
      </c>
      <c r="P295" s="52" t="e">
        <f t="shared" si="41"/>
        <v>#N/A</v>
      </c>
    </row>
    <row r="296" spans="3:16" ht="14.4" x14ac:dyDescent="0.3">
      <c r="C296" s="49" t="e">
        <f>VLOOKUP(B296,DAY!$C$2:$D$7,2,FALSE)</f>
        <v>#N/A</v>
      </c>
      <c r="D296" s="17"/>
      <c r="G296"/>
      <c r="H296" s="19"/>
      <c r="I296" s="52">
        <f t="shared" si="42"/>
        <v>1</v>
      </c>
      <c r="K296" s="52" t="str">
        <f t="shared" si="43"/>
        <v xml:space="preserve">-  </v>
      </c>
      <c r="L296" s="52" t="str">
        <f t="shared" si="44"/>
        <v xml:space="preserve"> --</v>
      </c>
      <c r="M296" s="52" t="str">
        <f t="shared" si="45"/>
        <v>- -</v>
      </c>
      <c r="N296" s="19"/>
      <c r="O296" s="52" t="e">
        <f t="shared" si="40"/>
        <v>#N/A</v>
      </c>
      <c r="P296" s="52" t="e">
        <f t="shared" si="41"/>
        <v>#N/A</v>
      </c>
    </row>
    <row r="297" spans="3:16" ht="14.4" x14ac:dyDescent="0.3">
      <c r="C297" s="49" t="e">
        <f>VLOOKUP(B297,DAY!$C$2:$D$7,2,FALSE)</f>
        <v>#N/A</v>
      </c>
      <c r="D297" s="17"/>
      <c r="G297"/>
      <c r="H297"/>
      <c r="I297" s="52">
        <f t="shared" si="42"/>
        <v>1</v>
      </c>
      <c r="K297" s="52" t="str">
        <f t="shared" si="43"/>
        <v xml:space="preserve">-  </v>
      </c>
      <c r="L297" s="52" t="str">
        <f t="shared" si="44"/>
        <v xml:space="preserve"> --</v>
      </c>
      <c r="M297" s="52" t="str">
        <f t="shared" si="45"/>
        <v>- -</v>
      </c>
      <c r="N297" s="19"/>
      <c r="O297" s="52" t="e">
        <f t="shared" si="40"/>
        <v>#N/A</v>
      </c>
      <c r="P297" s="52" t="e">
        <f t="shared" si="41"/>
        <v>#N/A</v>
      </c>
    </row>
    <row r="298" spans="3:16" ht="14.4" x14ac:dyDescent="0.3">
      <c r="C298" s="49" t="e">
        <f>VLOOKUP(B298,DAY!$C$2:$D$7,2,FALSE)</f>
        <v>#N/A</v>
      </c>
      <c r="D298" s="17"/>
      <c r="G298"/>
      <c r="H298"/>
      <c r="I298" s="52">
        <f t="shared" si="42"/>
        <v>1</v>
      </c>
      <c r="K298" s="52" t="str">
        <f t="shared" si="43"/>
        <v xml:space="preserve">-  </v>
      </c>
      <c r="L298" s="52" t="str">
        <f t="shared" si="44"/>
        <v xml:space="preserve"> --</v>
      </c>
      <c r="M298" s="52" t="str">
        <f t="shared" si="45"/>
        <v>- -</v>
      </c>
      <c r="N298" s="19"/>
      <c r="O298" s="52" t="e">
        <f t="shared" si="40"/>
        <v>#N/A</v>
      </c>
      <c r="P298" s="52" t="e">
        <f t="shared" si="41"/>
        <v>#N/A</v>
      </c>
    </row>
    <row r="299" spans="3:16" ht="14.4" x14ac:dyDescent="0.3">
      <c r="C299" s="49" t="e">
        <f>VLOOKUP(B299,DAY!$C$2:$D$7,2,FALSE)</f>
        <v>#N/A</v>
      </c>
      <c r="D299" s="17"/>
      <c r="G299"/>
      <c r="H299"/>
      <c r="I299" s="52">
        <f t="shared" si="42"/>
        <v>1</v>
      </c>
      <c r="K299" s="52" t="str">
        <f t="shared" si="43"/>
        <v xml:space="preserve">-  </v>
      </c>
      <c r="L299" s="52" t="str">
        <f t="shared" si="44"/>
        <v xml:space="preserve"> --</v>
      </c>
      <c r="M299" s="52" t="str">
        <f t="shared" si="45"/>
        <v>- -</v>
      </c>
      <c r="N299" s="19"/>
      <c r="O299" s="52" t="e">
        <f t="shared" si="40"/>
        <v>#N/A</v>
      </c>
      <c r="P299" s="52" t="e">
        <f t="shared" si="41"/>
        <v>#N/A</v>
      </c>
    </row>
    <row r="300" spans="3:16" ht="14.4" x14ac:dyDescent="0.3">
      <c r="C300" s="49" t="e">
        <f>VLOOKUP(B300,DAY!$C$2:$D$7,2,FALSE)</f>
        <v>#N/A</v>
      </c>
      <c r="D300" s="17"/>
      <c r="G300"/>
      <c r="H300" s="19"/>
      <c r="I300" s="52">
        <f t="shared" si="42"/>
        <v>1</v>
      </c>
      <c r="K300" s="52" t="str">
        <f t="shared" si="43"/>
        <v xml:space="preserve">-  </v>
      </c>
      <c r="L300" s="52" t="str">
        <f t="shared" si="44"/>
        <v xml:space="preserve"> --</v>
      </c>
      <c r="M300" s="52" t="str">
        <f t="shared" si="45"/>
        <v>- -</v>
      </c>
      <c r="N300" s="19"/>
      <c r="O300" s="52" t="e">
        <f t="shared" si="40"/>
        <v>#N/A</v>
      </c>
      <c r="P300" s="52" t="e">
        <f t="shared" si="41"/>
        <v>#N/A</v>
      </c>
    </row>
    <row r="301" spans="3:16" ht="14.4" x14ac:dyDescent="0.3">
      <c r="C301" s="49" t="e">
        <f>VLOOKUP(B301,DAY!$C$2:$D$7,2,FALSE)</f>
        <v>#N/A</v>
      </c>
      <c r="D301" s="17"/>
      <c r="G301"/>
      <c r="H301"/>
      <c r="I301" s="52">
        <f t="shared" si="42"/>
        <v>1</v>
      </c>
      <c r="K301" s="52" t="str">
        <f t="shared" si="43"/>
        <v xml:space="preserve">-  </v>
      </c>
      <c r="L301" s="52" t="str">
        <f t="shared" si="44"/>
        <v xml:space="preserve"> --</v>
      </c>
      <c r="M301" s="52" t="str">
        <f t="shared" si="45"/>
        <v>- -</v>
      </c>
      <c r="N301" s="19"/>
      <c r="O301" s="52" t="e">
        <f t="shared" si="40"/>
        <v>#N/A</v>
      </c>
      <c r="P301" s="52" t="e">
        <f t="shared" si="41"/>
        <v>#N/A</v>
      </c>
    </row>
    <row r="302" spans="3:16" ht="14.4" x14ac:dyDescent="0.3">
      <c r="C302" s="49" t="e">
        <f>VLOOKUP(B302,DAY!$C$2:$D$7,2,FALSE)</f>
        <v>#N/A</v>
      </c>
      <c r="D302" s="17"/>
      <c r="G302"/>
      <c r="H302"/>
      <c r="I302" s="52">
        <f t="shared" si="42"/>
        <v>1</v>
      </c>
      <c r="K302" s="52" t="str">
        <f t="shared" si="43"/>
        <v xml:space="preserve">-  </v>
      </c>
      <c r="L302" s="52" t="str">
        <f t="shared" si="44"/>
        <v xml:space="preserve"> --</v>
      </c>
      <c r="M302" s="52" t="str">
        <f t="shared" si="45"/>
        <v>- -</v>
      </c>
      <c r="N302" s="19"/>
      <c r="O302" s="52" t="e">
        <f t="shared" si="40"/>
        <v>#N/A</v>
      </c>
      <c r="P302" s="52" t="e">
        <f t="shared" si="41"/>
        <v>#N/A</v>
      </c>
    </row>
    <row r="303" spans="3:16" ht="14.4" x14ac:dyDescent="0.3">
      <c r="C303" s="49" t="e">
        <f>VLOOKUP(B303,DAY!$C$2:$D$7,2,FALSE)</f>
        <v>#N/A</v>
      </c>
      <c r="D303" s="17"/>
      <c r="G303"/>
      <c r="H303"/>
      <c r="I303" s="52">
        <f t="shared" si="42"/>
        <v>1</v>
      </c>
      <c r="K303" s="52" t="str">
        <f t="shared" si="43"/>
        <v xml:space="preserve">-  </v>
      </c>
      <c r="L303" s="52" t="str">
        <f t="shared" si="44"/>
        <v xml:space="preserve"> --</v>
      </c>
      <c r="M303" s="52" t="str">
        <f t="shared" si="45"/>
        <v>- -</v>
      </c>
      <c r="N303" s="19"/>
      <c r="O303" s="52" t="e">
        <f t="shared" si="40"/>
        <v>#N/A</v>
      </c>
      <c r="P303" s="52" t="e">
        <f t="shared" si="41"/>
        <v>#N/A</v>
      </c>
    </row>
    <row r="304" spans="3:16" ht="14.4" x14ac:dyDescent="0.3">
      <c r="C304" s="49" t="e">
        <f>VLOOKUP(B304,DAY!$C$2:$D$7,2,FALSE)</f>
        <v>#N/A</v>
      </c>
      <c r="D304" s="17"/>
      <c r="G304"/>
      <c r="H304"/>
      <c r="I304" s="52">
        <f t="shared" si="42"/>
        <v>1</v>
      </c>
      <c r="K304" s="52" t="str">
        <f t="shared" si="43"/>
        <v xml:space="preserve">-  </v>
      </c>
      <c r="L304" s="52" t="str">
        <f t="shared" si="44"/>
        <v xml:space="preserve"> --</v>
      </c>
      <c r="M304" s="52" t="str">
        <f t="shared" si="45"/>
        <v>- -</v>
      </c>
      <c r="N304" s="19"/>
      <c r="O304" s="52" t="e">
        <f t="shared" si="40"/>
        <v>#N/A</v>
      </c>
      <c r="P304" s="52" t="e">
        <f t="shared" si="41"/>
        <v>#N/A</v>
      </c>
    </row>
    <row r="305" spans="3:16" ht="14.4" x14ac:dyDescent="0.3">
      <c r="C305" s="49" t="e">
        <f>VLOOKUP(B305,DAY!$C$2:$D$7,2,FALSE)</f>
        <v>#N/A</v>
      </c>
      <c r="D305" s="17"/>
      <c r="G305"/>
      <c r="H305"/>
      <c r="I305" s="52">
        <f t="shared" si="42"/>
        <v>1</v>
      </c>
      <c r="K305" s="52" t="str">
        <f t="shared" si="43"/>
        <v xml:space="preserve">-  </v>
      </c>
      <c r="L305" s="52" t="str">
        <f t="shared" si="44"/>
        <v xml:space="preserve"> --</v>
      </c>
      <c r="M305" s="52" t="str">
        <f t="shared" si="45"/>
        <v>- -</v>
      </c>
      <c r="N305" s="19"/>
      <c r="O305" s="52" t="e">
        <f t="shared" si="40"/>
        <v>#N/A</v>
      </c>
      <c r="P305" s="52" t="e">
        <f t="shared" si="41"/>
        <v>#N/A</v>
      </c>
    </row>
    <row r="306" spans="3:16" ht="14.4" x14ac:dyDescent="0.3">
      <c r="C306" s="49" t="e">
        <f>VLOOKUP(B306,DAY!$C$2:$D$7,2,FALSE)</f>
        <v>#N/A</v>
      </c>
      <c r="D306" s="17"/>
      <c r="G306"/>
      <c r="H306"/>
      <c r="I306" s="52">
        <f t="shared" si="42"/>
        <v>1</v>
      </c>
      <c r="K306" s="52" t="str">
        <f t="shared" si="43"/>
        <v xml:space="preserve">-  </v>
      </c>
      <c r="L306" s="52" t="str">
        <f t="shared" si="44"/>
        <v xml:space="preserve"> --</v>
      </c>
      <c r="M306" s="52" t="str">
        <f t="shared" si="45"/>
        <v>- -</v>
      </c>
      <c r="N306" s="19"/>
      <c r="O306" s="52" t="e">
        <f t="shared" si="40"/>
        <v>#N/A</v>
      </c>
      <c r="P306" s="52" t="e">
        <f t="shared" si="41"/>
        <v>#N/A</v>
      </c>
    </row>
    <row r="307" spans="3:16" ht="14.4" x14ac:dyDescent="0.3">
      <c r="C307" s="49" t="e">
        <f>VLOOKUP(B307,DAY!$C$2:$D$7,2,FALSE)</f>
        <v>#N/A</v>
      </c>
      <c r="D307" s="17"/>
      <c r="G307"/>
      <c r="H307"/>
      <c r="I307" s="52">
        <f t="shared" si="42"/>
        <v>1</v>
      </c>
      <c r="K307" s="52" t="str">
        <f t="shared" si="43"/>
        <v xml:space="preserve">-  </v>
      </c>
      <c r="L307" s="52" t="str">
        <f t="shared" si="44"/>
        <v xml:space="preserve"> --</v>
      </c>
      <c r="M307" s="52" t="str">
        <f t="shared" si="45"/>
        <v>- -</v>
      </c>
      <c r="N307" s="19"/>
      <c r="O307" s="52" t="e">
        <f t="shared" si="40"/>
        <v>#N/A</v>
      </c>
      <c r="P307" s="52" t="e">
        <f t="shared" si="41"/>
        <v>#N/A</v>
      </c>
    </row>
    <row r="308" spans="3:16" ht="14.4" x14ac:dyDescent="0.3">
      <c r="C308" s="49" t="e">
        <f>VLOOKUP(B308,DAY!$C$2:$D$7,2,FALSE)</f>
        <v>#N/A</v>
      </c>
      <c r="D308" s="17"/>
      <c r="G308"/>
      <c r="H308"/>
      <c r="I308" s="52">
        <f t="shared" si="42"/>
        <v>1</v>
      </c>
      <c r="K308" s="52" t="str">
        <f t="shared" si="43"/>
        <v xml:space="preserve">-  </v>
      </c>
      <c r="L308" s="52" t="str">
        <f t="shared" si="44"/>
        <v xml:space="preserve"> --</v>
      </c>
      <c r="M308" s="52" t="str">
        <f t="shared" si="45"/>
        <v>- -</v>
      </c>
      <c r="N308" s="19"/>
      <c r="O308" s="52" t="e">
        <f t="shared" si="40"/>
        <v>#N/A</v>
      </c>
      <c r="P308" s="52" t="e">
        <f t="shared" si="41"/>
        <v>#N/A</v>
      </c>
    </row>
    <row r="309" spans="3:16" ht="14.4" x14ac:dyDescent="0.3">
      <c r="C309" s="49" t="e">
        <f>VLOOKUP(B309,DAY!$C$2:$D$7,2,FALSE)</f>
        <v>#N/A</v>
      </c>
      <c r="D309" s="17"/>
      <c r="G309"/>
      <c r="H309"/>
      <c r="I309" s="52">
        <f t="shared" si="42"/>
        <v>1</v>
      </c>
      <c r="K309" s="52" t="str">
        <f t="shared" si="43"/>
        <v xml:space="preserve">-  </v>
      </c>
      <c r="L309" s="52" t="str">
        <f t="shared" si="44"/>
        <v xml:space="preserve"> --</v>
      </c>
      <c r="M309" s="52" t="str">
        <f t="shared" si="45"/>
        <v>- -</v>
      </c>
      <c r="N309" s="19"/>
      <c r="O309" s="52" t="e">
        <f t="shared" si="40"/>
        <v>#N/A</v>
      </c>
      <c r="P309" s="52" t="e">
        <f t="shared" si="41"/>
        <v>#N/A</v>
      </c>
    </row>
    <row r="310" spans="3:16" ht="14.4" x14ac:dyDescent="0.3">
      <c r="C310" s="49" t="e">
        <f>VLOOKUP(B310,DAY!$C$2:$D$7,2,FALSE)</f>
        <v>#N/A</v>
      </c>
      <c r="D310" s="17"/>
      <c r="G310"/>
      <c r="H310"/>
      <c r="I310" s="52">
        <f t="shared" si="42"/>
        <v>1</v>
      </c>
      <c r="K310" s="52" t="str">
        <f t="shared" si="43"/>
        <v xml:space="preserve">-  </v>
      </c>
      <c r="L310" s="52" t="str">
        <f t="shared" si="44"/>
        <v xml:space="preserve"> --</v>
      </c>
      <c r="M310" s="52" t="str">
        <f t="shared" si="45"/>
        <v>- -</v>
      </c>
      <c r="N310" s="19"/>
      <c r="O310" s="52" t="e">
        <f t="shared" si="40"/>
        <v>#N/A</v>
      </c>
      <c r="P310" s="52" t="e">
        <f t="shared" si="41"/>
        <v>#N/A</v>
      </c>
    </row>
    <row r="311" spans="3:16" ht="14.4" x14ac:dyDescent="0.3">
      <c r="C311" s="49" t="e">
        <f>VLOOKUP(B311,DAY!$C$2:$D$7,2,FALSE)</f>
        <v>#N/A</v>
      </c>
      <c r="D311" s="17"/>
      <c r="G311"/>
      <c r="H311"/>
      <c r="I311" s="52">
        <f t="shared" si="42"/>
        <v>1</v>
      </c>
      <c r="K311" s="52" t="str">
        <f t="shared" si="43"/>
        <v xml:space="preserve">-  </v>
      </c>
      <c r="L311" s="52" t="str">
        <f t="shared" si="44"/>
        <v xml:space="preserve"> --</v>
      </c>
      <c r="M311" s="52" t="str">
        <f t="shared" si="45"/>
        <v>- -</v>
      </c>
      <c r="N311" s="19"/>
      <c r="O311" s="52" t="e">
        <f t="shared" si="40"/>
        <v>#N/A</v>
      </c>
      <c r="P311" s="52" t="e">
        <f t="shared" si="41"/>
        <v>#N/A</v>
      </c>
    </row>
    <row r="312" spans="3:16" ht="14.4" x14ac:dyDescent="0.3">
      <c r="C312" s="49" t="e">
        <f>VLOOKUP(B312,DAY!$C$2:$D$7,2,FALSE)</f>
        <v>#N/A</v>
      </c>
      <c r="D312" s="17"/>
      <c r="G312"/>
      <c r="H312"/>
      <c r="I312" s="52">
        <f t="shared" si="42"/>
        <v>1</v>
      </c>
      <c r="K312" s="52" t="str">
        <f t="shared" si="43"/>
        <v xml:space="preserve">-  </v>
      </c>
      <c r="L312" s="52" t="str">
        <f t="shared" si="44"/>
        <v xml:space="preserve"> --</v>
      </c>
      <c r="M312" s="52" t="str">
        <f t="shared" si="45"/>
        <v>- -</v>
      </c>
      <c r="N312" s="19"/>
      <c r="O312" s="52" t="e">
        <f t="shared" si="40"/>
        <v>#N/A</v>
      </c>
      <c r="P312" s="52" t="e">
        <f t="shared" si="41"/>
        <v>#N/A</v>
      </c>
    </row>
    <row r="313" spans="3:16" ht="14.4" x14ac:dyDescent="0.3">
      <c r="C313" s="49" t="e">
        <f>VLOOKUP(B313,DAY!$C$2:$D$7,2,FALSE)</f>
        <v>#N/A</v>
      </c>
      <c r="D313" s="17"/>
      <c r="G313"/>
      <c r="H313"/>
      <c r="I313" s="52">
        <f t="shared" ref="I313" si="74">IF(H313="",1,2)</f>
        <v>1</v>
      </c>
      <c r="K313" s="52" t="str">
        <f t="shared" ref="K313" si="75">E313&amp;"-"&amp;A313&amp;" "&amp;H313&amp;" "&amp;G313</f>
        <v xml:space="preserve">-  </v>
      </c>
      <c r="L313" s="52" t="str">
        <f t="shared" ref="L313" si="76">H313&amp;" "&amp;E313&amp;"-"&amp;F313&amp;"-"&amp;G313</f>
        <v xml:space="preserve"> --</v>
      </c>
      <c r="M313" s="52" t="str">
        <f t="shared" ref="M313" si="77">A313&amp;"-"&amp;H313&amp;" "&amp;E313&amp;"-"&amp;F313</f>
        <v>- -</v>
      </c>
      <c r="N313" s="19"/>
      <c r="O313" s="52" t="e">
        <f t="shared" si="40"/>
        <v>#N/A</v>
      </c>
      <c r="P313" s="52" t="e">
        <f t="shared" si="41"/>
        <v>#N/A</v>
      </c>
    </row>
    <row r="314" spans="3:16" ht="14.4" x14ac:dyDescent="0.3">
      <c r="C314" s="49" t="e">
        <f>VLOOKUP(B314,DAY!$C$2:$D$7,2,FALSE)</f>
        <v>#N/A</v>
      </c>
      <c r="D314" s="17"/>
      <c r="G314"/>
      <c r="H314"/>
      <c r="I314" s="52">
        <v>1</v>
      </c>
      <c r="K314" s="52" t="str">
        <f t="shared" si="43"/>
        <v xml:space="preserve">-  </v>
      </c>
      <c r="L314" s="52" t="str">
        <f t="shared" si="44"/>
        <v xml:space="preserve"> --</v>
      </c>
      <c r="M314" s="52" t="str">
        <f t="shared" si="45"/>
        <v>- -</v>
      </c>
      <c r="N314" s="19"/>
      <c r="O314" s="52" t="e">
        <f t="shared" si="40"/>
        <v>#N/A</v>
      </c>
      <c r="P314" s="52" t="e">
        <f t="shared" si="41"/>
        <v>#N/A</v>
      </c>
    </row>
    <row r="315" spans="3:16" ht="14.4" x14ac:dyDescent="0.3">
      <c r="C315" s="49" t="e">
        <f>VLOOKUP(B315,DAY!$C$2:$D$7,2,FALSE)</f>
        <v>#N/A</v>
      </c>
      <c r="D315" s="17"/>
      <c r="G315"/>
      <c r="H315"/>
      <c r="I315" s="52">
        <v>1</v>
      </c>
      <c r="K315" s="52" t="str">
        <f t="shared" si="43"/>
        <v xml:space="preserve">-  </v>
      </c>
      <c r="L315" s="52" t="str">
        <f t="shared" si="44"/>
        <v xml:space="preserve"> --</v>
      </c>
      <c r="M315" s="52" t="str">
        <f t="shared" si="45"/>
        <v>- -</v>
      </c>
      <c r="N315" s="19"/>
      <c r="O315" s="52" t="e">
        <f t="shared" si="40"/>
        <v>#N/A</v>
      </c>
      <c r="P315" s="52" t="e">
        <f t="shared" si="41"/>
        <v>#N/A</v>
      </c>
    </row>
    <row r="316" spans="3:16" ht="14.4" x14ac:dyDescent="0.3">
      <c r="C316" s="49" t="e">
        <f>VLOOKUP(B316,DAY!$C$2:$D$7,2,FALSE)</f>
        <v>#N/A</v>
      </c>
      <c r="D316" s="17"/>
      <c r="G316"/>
      <c r="H316"/>
      <c r="I316" s="52">
        <v>1</v>
      </c>
      <c r="K316" s="52" t="str">
        <f t="shared" ref="K316" si="78">E316&amp;"-"&amp;A316&amp;" "&amp;H316&amp;" "&amp;G316</f>
        <v xml:space="preserve">-  </v>
      </c>
      <c r="L316" s="52" t="str">
        <f t="shared" ref="L316" si="79">H316&amp;" "&amp;E316&amp;"-"&amp;F316&amp;"-"&amp;G316</f>
        <v xml:space="preserve"> --</v>
      </c>
      <c r="M316" s="52" t="str">
        <f t="shared" ref="M316" si="80">A316&amp;"-"&amp;H316&amp;" "&amp;E316&amp;"-"&amp;F316</f>
        <v>- -</v>
      </c>
      <c r="N316" s="19"/>
      <c r="O316" s="52" t="e">
        <f t="shared" ref="O316" si="81">C316&amp;D316&amp;F316</f>
        <v>#N/A</v>
      </c>
      <c r="P316" s="52" t="e">
        <f t="shared" ref="P316" si="82">C316&amp;D316&amp;G316</f>
        <v>#N/A</v>
      </c>
    </row>
    <row r="317" spans="3:16" ht="14.4" x14ac:dyDescent="0.3">
      <c r="C317" s="49" t="e">
        <f>VLOOKUP(B317,DAY!$C$2:$D$7,2,FALSE)</f>
        <v>#N/A</v>
      </c>
      <c r="D317" s="17"/>
      <c r="G317"/>
      <c r="H317"/>
      <c r="I317" s="52">
        <v>1</v>
      </c>
      <c r="K317" s="52" t="str">
        <f t="shared" si="43"/>
        <v xml:space="preserve">-  </v>
      </c>
      <c r="L317" s="52" t="str">
        <f t="shared" si="44"/>
        <v xml:space="preserve"> --</v>
      </c>
      <c r="M317" s="52" t="str">
        <f t="shared" si="45"/>
        <v>- -</v>
      </c>
      <c r="N317" s="19"/>
      <c r="O317" s="52" t="e">
        <f t="shared" si="40"/>
        <v>#N/A</v>
      </c>
      <c r="P317" s="52" t="e">
        <f t="shared" si="41"/>
        <v>#N/A</v>
      </c>
    </row>
    <row r="318" spans="3:16" ht="14.4" x14ac:dyDescent="0.3">
      <c r="C318" s="49" t="e">
        <f>VLOOKUP(B318,DAY!$C$2:$D$7,2,FALSE)</f>
        <v>#N/A</v>
      </c>
      <c r="D318" s="17"/>
      <c r="G318"/>
      <c r="H318"/>
      <c r="I318" s="52">
        <f t="shared" si="42"/>
        <v>1</v>
      </c>
      <c r="K318" s="52" t="str">
        <f t="shared" si="43"/>
        <v xml:space="preserve">-  </v>
      </c>
      <c r="L318" s="52" t="str">
        <f t="shared" si="44"/>
        <v xml:space="preserve"> --</v>
      </c>
      <c r="M318" s="52" t="str">
        <f t="shared" si="45"/>
        <v>- -</v>
      </c>
      <c r="N318" s="19"/>
      <c r="O318" s="52" t="e">
        <f t="shared" si="40"/>
        <v>#N/A</v>
      </c>
      <c r="P318" s="52" t="e">
        <f t="shared" si="41"/>
        <v>#N/A</v>
      </c>
    </row>
    <row r="319" spans="3:16" ht="14.4" x14ac:dyDescent="0.3">
      <c r="C319" s="49" t="e">
        <f>VLOOKUP(B319,DAY!$C$2:$D$7,2,FALSE)</f>
        <v>#N/A</v>
      </c>
      <c r="D319" s="17"/>
      <c r="G319"/>
      <c r="H319"/>
      <c r="I319" s="52">
        <f t="shared" ref="I319" si="83">IF(H319="",1,2)</f>
        <v>1</v>
      </c>
      <c r="K319" s="52" t="str">
        <f t="shared" ref="K319" si="84">E319&amp;"-"&amp;A319&amp;" "&amp;H319&amp;" "&amp;G319</f>
        <v xml:space="preserve">-  </v>
      </c>
      <c r="L319" s="52" t="str">
        <f t="shared" ref="L319" si="85">H319&amp;" "&amp;E319&amp;"-"&amp;F319&amp;"-"&amp;G319</f>
        <v xml:space="preserve"> --</v>
      </c>
      <c r="M319" s="52" t="str">
        <f t="shared" ref="M319" si="86">A319&amp;"-"&amp;H319&amp;" "&amp;E319&amp;"-"&amp;F319</f>
        <v>- -</v>
      </c>
      <c r="N319" s="19"/>
      <c r="O319" s="52" t="e">
        <f t="shared" ref="O319" si="87">C319&amp;D319&amp;F319</f>
        <v>#N/A</v>
      </c>
      <c r="P319" s="52" t="e">
        <f t="shared" ref="P319" si="88">C319&amp;D319&amp;G319</f>
        <v>#N/A</v>
      </c>
    </row>
    <row r="320" spans="3:16" ht="14.4" x14ac:dyDescent="0.3">
      <c r="C320" s="49" t="e">
        <f>VLOOKUP(B320,DAY!$C$2:$D$7,2,FALSE)</f>
        <v>#N/A</v>
      </c>
      <c r="D320" s="17"/>
      <c r="G320"/>
      <c r="H320"/>
      <c r="I320" s="52">
        <f t="shared" si="42"/>
        <v>1</v>
      </c>
      <c r="K320" s="52" t="str">
        <f t="shared" si="43"/>
        <v xml:space="preserve">-  </v>
      </c>
      <c r="L320" s="52" t="str">
        <f t="shared" si="44"/>
        <v xml:space="preserve"> --</v>
      </c>
      <c r="M320" s="52" t="str">
        <f t="shared" si="45"/>
        <v>- -</v>
      </c>
      <c r="N320" s="19"/>
      <c r="O320" s="52" t="e">
        <f t="shared" si="40"/>
        <v>#N/A</v>
      </c>
      <c r="P320" s="52" t="e">
        <f t="shared" si="41"/>
        <v>#N/A</v>
      </c>
    </row>
    <row r="321" spans="3:16" ht="14.4" x14ac:dyDescent="0.3">
      <c r="C321" s="49" t="e">
        <f>VLOOKUP(B321,DAY!$C$2:$D$7,2,FALSE)</f>
        <v>#N/A</v>
      </c>
      <c r="D321" s="17"/>
      <c r="G321"/>
      <c r="H321"/>
      <c r="I321" s="52">
        <f t="shared" si="42"/>
        <v>1</v>
      </c>
      <c r="K321" s="52" t="str">
        <f t="shared" si="43"/>
        <v xml:space="preserve">-  </v>
      </c>
      <c r="L321" s="52" t="str">
        <f t="shared" si="44"/>
        <v xml:space="preserve"> --</v>
      </c>
      <c r="M321" s="52" t="str">
        <f t="shared" si="45"/>
        <v>- -</v>
      </c>
      <c r="N321" s="19"/>
      <c r="O321" s="52" t="e">
        <f t="shared" si="40"/>
        <v>#N/A</v>
      </c>
      <c r="P321" s="52" t="e">
        <f t="shared" si="41"/>
        <v>#N/A</v>
      </c>
    </row>
    <row r="322" spans="3:16" ht="14.4" x14ac:dyDescent="0.3">
      <c r="C322" s="49" t="e">
        <f>VLOOKUP(B322,DAY!$C$2:$D$7,2,FALSE)</f>
        <v>#N/A</v>
      </c>
      <c r="D322" s="17"/>
      <c r="G322"/>
      <c r="H322"/>
      <c r="I322" s="52">
        <f t="shared" ref="I322" si="89">IF(H322="",1,2)</f>
        <v>1</v>
      </c>
      <c r="K322" s="52" t="str">
        <f t="shared" ref="K322" si="90">E322&amp;"-"&amp;A322&amp;" "&amp;H322&amp;" "&amp;G322</f>
        <v xml:space="preserve">-  </v>
      </c>
      <c r="L322" s="52" t="str">
        <f t="shared" ref="L322" si="91">H322&amp;" "&amp;E322&amp;"-"&amp;F322&amp;"-"&amp;G322</f>
        <v xml:space="preserve"> --</v>
      </c>
      <c r="M322" s="52" t="str">
        <f t="shared" ref="M322" si="92">A322&amp;"-"&amp;H322&amp;" "&amp;E322&amp;"-"&amp;F322</f>
        <v>- -</v>
      </c>
      <c r="N322" s="19"/>
      <c r="O322" s="52" t="e">
        <f t="shared" ref="O322" si="93">C322&amp;D322&amp;F322</f>
        <v>#N/A</v>
      </c>
      <c r="P322" s="52" t="e">
        <f t="shared" ref="P322" si="94">C322&amp;D322&amp;G322</f>
        <v>#N/A</v>
      </c>
    </row>
    <row r="323" spans="3:16" ht="14.4" x14ac:dyDescent="0.3">
      <c r="C323" s="49" t="e">
        <f>VLOOKUP(B323,DAY!$C$2:$D$7,2,FALSE)</f>
        <v>#N/A</v>
      </c>
      <c r="D323" s="17"/>
      <c r="G323"/>
      <c r="H323"/>
      <c r="I323" s="52">
        <f t="shared" ref="I323" si="95">IF(H323="",1,2)</f>
        <v>1</v>
      </c>
      <c r="K323" s="52" t="str">
        <f t="shared" ref="K323" si="96">E323&amp;"-"&amp;A323&amp;" "&amp;H323&amp;" "&amp;G323</f>
        <v xml:space="preserve">-  </v>
      </c>
      <c r="L323" s="52" t="str">
        <f t="shared" ref="L323" si="97">H323&amp;" "&amp;E323&amp;"-"&amp;F323&amp;"-"&amp;G323</f>
        <v xml:space="preserve"> --</v>
      </c>
      <c r="M323" s="52" t="str">
        <f t="shared" ref="M323" si="98">A323&amp;"-"&amp;H323&amp;" "&amp;E323&amp;"-"&amp;F323</f>
        <v>- -</v>
      </c>
      <c r="N323" s="19"/>
      <c r="O323" s="52" t="e">
        <f t="shared" ref="O323" si="99">C323&amp;D323&amp;F323</f>
        <v>#N/A</v>
      </c>
      <c r="P323" s="52" t="e">
        <f t="shared" ref="P323" si="100">C323&amp;D323&amp;G323</f>
        <v>#N/A</v>
      </c>
    </row>
    <row r="324" spans="3:16" ht="14.4" x14ac:dyDescent="0.3">
      <c r="C324" s="49" t="e">
        <f>VLOOKUP(B324,DAY!$C$2:$D$7,2,FALSE)</f>
        <v>#N/A</v>
      </c>
      <c r="D324" s="17"/>
      <c r="G324"/>
      <c r="H324"/>
      <c r="I324" s="52">
        <f t="shared" si="42"/>
        <v>1</v>
      </c>
      <c r="K324" s="52" t="str">
        <f t="shared" si="43"/>
        <v xml:space="preserve">-  </v>
      </c>
      <c r="L324" s="52" t="str">
        <f t="shared" si="44"/>
        <v xml:space="preserve"> --</v>
      </c>
      <c r="M324" s="52" t="str">
        <f t="shared" si="45"/>
        <v>- -</v>
      </c>
      <c r="N324" s="19"/>
      <c r="O324" s="52" t="e">
        <f t="shared" si="40"/>
        <v>#N/A</v>
      </c>
      <c r="P324" s="52" t="e">
        <f t="shared" si="41"/>
        <v>#N/A</v>
      </c>
    </row>
    <row r="325" spans="3:16" ht="14.4" x14ac:dyDescent="0.3">
      <c r="C325" s="49" t="e">
        <f>VLOOKUP(B325,DAY!$C$2:$D$7,2,FALSE)</f>
        <v>#N/A</v>
      </c>
      <c r="D325" s="17"/>
      <c r="G325"/>
      <c r="H325"/>
      <c r="I325" s="52">
        <f t="shared" si="42"/>
        <v>1</v>
      </c>
      <c r="K325" s="52" t="str">
        <f t="shared" si="43"/>
        <v xml:space="preserve">-  </v>
      </c>
      <c r="L325" s="52" t="str">
        <f t="shared" si="44"/>
        <v xml:space="preserve"> --</v>
      </c>
      <c r="M325" s="52" t="str">
        <f t="shared" si="45"/>
        <v>- -</v>
      </c>
      <c r="N325" s="19"/>
      <c r="O325" s="52" t="e">
        <f t="shared" si="40"/>
        <v>#N/A</v>
      </c>
      <c r="P325" s="52" t="e">
        <f t="shared" si="41"/>
        <v>#N/A</v>
      </c>
    </row>
    <row r="326" spans="3:16" ht="14.4" x14ac:dyDescent="0.3">
      <c r="C326" s="49" t="e">
        <f>VLOOKUP(B326,DAY!$C$2:$D$7,2,FALSE)</f>
        <v>#N/A</v>
      </c>
      <c r="D326" s="17"/>
      <c r="G326"/>
      <c r="H326"/>
      <c r="I326" s="52">
        <f t="shared" si="42"/>
        <v>1</v>
      </c>
      <c r="K326" s="52" t="str">
        <f t="shared" si="43"/>
        <v xml:space="preserve">-  </v>
      </c>
      <c r="L326" s="52" t="str">
        <f t="shared" si="44"/>
        <v xml:space="preserve"> --</v>
      </c>
      <c r="M326" s="52" t="str">
        <f t="shared" si="45"/>
        <v>- -</v>
      </c>
      <c r="N326" s="19"/>
      <c r="O326" s="52" t="e">
        <f t="shared" si="40"/>
        <v>#N/A</v>
      </c>
      <c r="P326" s="52" t="e">
        <f t="shared" si="41"/>
        <v>#N/A</v>
      </c>
    </row>
    <row r="327" spans="3:16" ht="14.4" x14ac:dyDescent="0.3">
      <c r="C327" s="49" t="e">
        <f>VLOOKUP(B327,DAY!$C$2:$D$7,2,FALSE)</f>
        <v>#N/A</v>
      </c>
      <c r="D327" s="17"/>
      <c r="G327"/>
      <c r="H327"/>
      <c r="I327" s="52">
        <f t="shared" si="42"/>
        <v>1</v>
      </c>
      <c r="K327" s="52" t="str">
        <f t="shared" si="43"/>
        <v xml:space="preserve">-  </v>
      </c>
      <c r="L327" s="52" t="str">
        <f t="shared" si="44"/>
        <v xml:space="preserve"> --</v>
      </c>
      <c r="M327" s="52" t="str">
        <f t="shared" si="45"/>
        <v>- -</v>
      </c>
      <c r="N327" s="19"/>
      <c r="O327" s="52" t="e">
        <f t="shared" si="40"/>
        <v>#N/A</v>
      </c>
      <c r="P327" s="52" t="e">
        <f t="shared" si="41"/>
        <v>#N/A</v>
      </c>
    </row>
    <row r="328" spans="3:16" ht="14.4" x14ac:dyDescent="0.3">
      <c r="C328" s="49" t="e">
        <f>VLOOKUP(B328,DAY!$C$2:$D$7,2,FALSE)</f>
        <v>#N/A</v>
      </c>
      <c r="D328" s="17"/>
      <c r="G328"/>
      <c r="H328"/>
      <c r="I328" s="52">
        <f t="shared" si="42"/>
        <v>1</v>
      </c>
      <c r="K328" s="52" t="str">
        <f t="shared" si="43"/>
        <v xml:space="preserve">-  </v>
      </c>
      <c r="L328" s="52" t="str">
        <f t="shared" si="44"/>
        <v xml:space="preserve"> --</v>
      </c>
      <c r="M328" s="52" t="str">
        <f t="shared" si="45"/>
        <v>- -</v>
      </c>
      <c r="N328" s="19"/>
      <c r="O328" s="52" t="e">
        <f t="shared" si="40"/>
        <v>#N/A</v>
      </c>
      <c r="P328" s="52" t="e">
        <f t="shared" si="41"/>
        <v>#N/A</v>
      </c>
    </row>
    <row r="329" spans="3:16" ht="14.4" x14ac:dyDescent="0.3">
      <c r="C329" s="49" t="e">
        <f>VLOOKUP(B329,DAY!$C$2:$D$7,2,FALSE)</f>
        <v>#N/A</v>
      </c>
      <c r="D329" s="17"/>
      <c r="G329"/>
      <c r="H329"/>
      <c r="I329" s="52">
        <v>1</v>
      </c>
      <c r="K329" s="52" t="str">
        <f t="shared" si="43"/>
        <v xml:space="preserve">-  </v>
      </c>
      <c r="L329" s="52" t="str">
        <f t="shared" si="44"/>
        <v xml:space="preserve"> --</v>
      </c>
      <c r="M329" s="52" t="str">
        <f t="shared" si="45"/>
        <v>- -</v>
      </c>
      <c r="N329" s="19"/>
      <c r="O329" s="52" t="e">
        <f t="shared" si="40"/>
        <v>#N/A</v>
      </c>
      <c r="P329" s="52" t="e">
        <f t="shared" si="41"/>
        <v>#N/A</v>
      </c>
    </row>
    <row r="330" spans="3:16" ht="14.4" x14ac:dyDescent="0.3">
      <c r="C330" s="49" t="e">
        <f>VLOOKUP(B330,DAY!$C$2:$D$7,2,FALSE)</f>
        <v>#N/A</v>
      </c>
      <c r="D330" s="17"/>
      <c r="G330"/>
      <c r="H330"/>
      <c r="I330" s="52">
        <v>1</v>
      </c>
      <c r="K330" s="52" t="str">
        <f t="shared" si="43"/>
        <v xml:space="preserve">-  </v>
      </c>
      <c r="L330" s="52" t="str">
        <f t="shared" si="44"/>
        <v xml:space="preserve"> --</v>
      </c>
      <c r="M330" s="52" t="str">
        <f t="shared" si="45"/>
        <v>- -</v>
      </c>
      <c r="N330" s="19"/>
      <c r="O330" s="52" t="e">
        <f t="shared" si="40"/>
        <v>#N/A</v>
      </c>
      <c r="P330" s="52" t="e">
        <f t="shared" si="41"/>
        <v>#N/A</v>
      </c>
    </row>
    <row r="331" spans="3:16" ht="14.4" x14ac:dyDescent="0.3">
      <c r="C331" s="49" t="e">
        <f>VLOOKUP(B331,DAY!$C$2:$D$7,2,FALSE)</f>
        <v>#N/A</v>
      </c>
      <c r="D331" s="17"/>
      <c r="G331"/>
      <c r="H331"/>
      <c r="I331" s="52">
        <v>1</v>
      </c>
      <c r="K331" s="52" t="str">
        <f t="shared" ref="K331" si="101">E331&amp;"-"&amp;A331&amp;" "&amp;H331&amp;" "&amp;G331</f>
        <v xml:space="preserve">-  </v>
      </c>
      <c r="L331" s="52" t="str">
        <f t="shared" ref="L331" si="102">H331&amp;" "&amp;E331&amp;"-"&amp;F331&amp;"-"&amp;G331</f>
        <v xml:space="preserve"> --</v>
      </c>
      <c r="M331" s="52" t="str">
        <f t="shared" ref="M331" si="103">A331&amp;"-"&amp;H331&amp;" "&amp;E331&amp;"-"&amp;F331</f>
        <v>- -</v>
      </c>
      <c r="N331" s="19"/>
      <c r="O331" s="52" t="e">
        <f t="shared" ref="O331" si="104">C331&amp;D331&amp;F331</f>
        <v>#N/A</v>
      </c>
      <c r="P331" s="52" t="e">
        <f t="shared" ref="P331" si="105">C331&amp;D331&amp;G331</f>
        <v>#N/A</v>
      </c>
    </row>
    <row r="332" spans="3:16" ht="14.4" x14ac:dyDescent="0.3">
      <c r="C332" s="49" t="e">
        <f>VLOOKUP(B332,DAY!$C$2:$D$7,2,FALSE)</f>
        <v>#N/A</v>
      </c>
      <c r="D332" s="17"/>
      <c r="G332"/>
      <c r="H332"/>
      <c r="I332" s="52">
        <f t="shared" si="42"/>
        <v>1</v>
      </c>
      <c r="K332" s="52" t="str">
        <f t="shared" si="43"/>
        <v xml:space="preserve">-  </v>
      </c>
      <c r="L332" s="52" t="str">
        <f t="shared" si="44"/>
        <v xml:space="preserve"> --</v>
      </c>
      <c r="M332" s="52" t="str">
        <f t="shared" si="45"/>
        <v>- -</v>
      </c>
      <c r="N332" s="19"/>
      <c r="O332" s="52" t="e">
        <f t="shared" ref="O332:O392" si="106">C332&amp;D332&amp;F332</f>
        <v>#N/A</v>
      </c>
      <c r="P332" s="52" t="e">
        <f t="shared" ref="P332:P392" si="107">C332&amp;D332&amp;G332</f>
        <v>#N/A</v>
      </c>
    </row>
    <row r="333" spans="3:16" ht="14.4" x14ac:dyDescent="0.3">
      <c r="C333" s="49" t="e">
        <f>VLOOKUP(B333,DAY!$C$2:$D$7,2,FALSE)</f>
        <v>#N/A</v>
      </c>
      <c r="D333" s="17"/>
      <c r="G333"/>
      <c r="H333"/>
      <c r="I333" s="52">
        <f t="shared" si="42"/>
        <v>1</v>
      </c>
      <c r="K333" s="52" t="str">
        <f t="shared" si="43"/>
        <v xml:space="preserve">-  </v>
      </c>
      <c r="L333" s="52" t="str">
        <f t="shared" si="44"/>
        <v xml:space="preserve"> --</v>
      </c>
      <c r="M333" s="52" t="str">
        <f t="shared" si="45"/>
        <v>- -</v>
      </c>
      <c r="N333" s="19"/>
      <c r="O333" s="52" t="e">
        <f t="shared" si="106"/>
        <v>#N/A</v>
      </c>
      <c r="P333" s="52" t="e">
        <f t="shared" si="107"/>
        <v>#N/A</v>
      </c>
    </row>
    <row r="334" spans="3:16" ht="14.4" x14ac:dyDescent="0.3">
      <c r="C334" s="49" t="e">
        <f>VLOOKUP(B334,DAY!$C$2:$D$7,2,FALSE)</f>
        <v>#N/A</v>
      </c>
      <c r="D334" s="17"/>
      <c r="G334"/>
      <c r="H334"/>
      <c r="I334" s="52">
        <f t="shared" ref="I334:I397" si="108">IF(H334="",1,2)</f>
        <v>1</v>
      </c>
      <c r="K334" s="52" t="str">
        <f t="shared" ref="K334:K397" si="109">E334&amp;"-"&amp;A334&amp;" "&amp;H334&amp;" "&amp;G334</f>
        <v xml:space="preserve">-  </v>
      </c>
      <c r="L334" s="52" t="str">
        <f t="shared" ref="L334:L397" si="110">H334&amp;" "&amp;E334&amp;"-"&amp;F334&amp;"-"&amp;G334</f>
        <v xml:space="preserve"> --</v>
      </c>
      <c r="M334" s="52" t="str">
        <f t="shared" ref="M334:M397" si="111">A334&amp;"-"&amp;H334&amp;" "&amp;E334&amp;"-"&amp;F334</f>
        <v>- -</v>
      </c>
      <c r="N334" s="19"/>
      <c r="O334" s="52" t="e">
        <f t="shared" si="106"/>
        <v>#N/A</v>
      </c>
      <c r="P334" s="52" t="e">
        <f t="shared" si="107"/>
        <v>#N/A</v>
      </c>
    </row>
    <row r="335" spans="3:16" ht="14.4" x14ac:dyDescent="0.3">
      <c r="C335" s="49" t="e">
        <f>VLOOKUP(B335,DAY!$C$2:$D$7,2,FALSE)</f>
        <v>#N/A</v>
      </c>
      <c r="D335" s="17"/>
      <c r="G335"/>
      <c r="H335"/>
      <c r="I335" s="52">
        <f t="shared" si="108"/>
        <v>1</v>
      </c>
      <c r="K335" s="52" t="str">
        <f t="shared" si="109"/>
        <v xml:space="preserve">-  </v>
      </c>
      <c r="L335" s="52" t="str">
        <f t="shared" si="110"/>
        <v xml:space="preserve"> --</v>
      </c>
      <c r="M335" s="52" t="str">
        <f t="shared" si="111"/>
        <v>- -</v>
      </c>
      <c r="N335" s="19"/>
      <c r="O335" s="52" t="e">
        <f t="shared" si="106"/>
        <v>#N/A</v>
      </c>
      <c r="P335" s="52" t="e">
        <f t="shared" si="107"/>
        <v>#N/A</v>
      </c>
    </row>
    <row r="336" spans="3:16" ht="14.4" x14ac:dyDescent="0.3">
      <c r="C336" s="49" t="e">
        <f>VLOOKUP(B336,DAY!$C$2:$D$7,2,FALSE)</f>
        <v>#N/A</v>
      </c>
      <c r="D336" s="17"/>
      <c r="G336"/>
      <c r="H336"/>
      <c r="I336" s="52">
        <f t="shared" si="108"/>
        <v>1</v>
      </c>
      <c r="K336" s="52" t="str">
        <f t="shared" si="109"/>
        <v xml:space="preserve">-  </v>
      </c>
      <c r="L336" s="52" t="str">
        <f t="shared" si="110"/>
        <v xml:space="preserve"> --</v>
      </c>
      <c r="M336" s="52" t="str">
        <f t="shared" si="111"/>
        <v>- -</v>
      </c>
      <c r="N336" s="19"/>
      <c r="O336" s="52" t="e">
        <f t="shared" si="106"/>
        <v>#N/A</v>
      </c>
      <c r="P336" s="52" t="e">
        <f t="shared" si="107"/>
        <v>#N/A</v>
      </c>
    </row>
    <row r="337" spans="3:16" ht="14.4" x14ac:dyDescent="0.3">
      <c r="C337" s="49" t="e">
        <f>VLOOKUP(B337,DAY!$C$2:$D$7,2,FALSE)</f>
        <v>#N/A</v>
      </c>
      <c r="D337" s="17"/>
      <c r="G337"/>
      <c r="H337" s="19"/>
      <c r="I337" s="52">
        <v>1</v>
      </c>
      <c r="K337" s="52" t="str">
        <f t="shared" si="109"/>
        <v xml:space="preserve">-  </v>
      </c>
      <c r="L337" s="52" t="str">
        <f t="shared" si="110"/>
        <v xml:space="preserve"> --</v>
      </c>
      <c r="M337" s="52" t="str">
        <f t="shared" si="111"/>
        <v>- -</v>
      </c>
      <c r="N337" s="19"/>
      <c r="O337" s="52" t="e">
        <f t="shared" si="106"/>
        <v>#N/A</v>
      </c>
      <c r="P337" s="52" t="e">
        <f t="shared" si="107"/>
        <v>#N/A</v>
      </c>
    </row>
    <row r="338" spans="3:16" ht="14.4" x14ac:dyDescent="0.3">
      <c r="C338" s="49" t="e">
        <f>VLOOKUP(B338,DAY!$C$2:$D$7,2,FALSE)</f>
        <v>#N/A</v>
      </c>
      <c r="D338" s="17"/>
      <c r="G338"/>
      <c r="H338" s="19"/>
      <c r="I338" s="52">
        <v>1</v>
      </c>
      <c r="K338" s="52" t="str">
        <f t="shared" si="109"/>
        <v xml:space="preserve">-  </v>
      </c>
      <c r="L338" s="52" t="str">
        <f t="shared" si="110"/>
        <v xml:space="preserve"> --</v>
      </c>
      <c r="M338" s="52" t="str">
        <f t="shared" si="111"/>
        <v>- -</v>
      </c>
      <c r="N338" s="19"/>
      <c r="O338" s="52" t="e">
        <f t="shared" si="106"/>
        <v>#N/A</v>
      </c>
      <c r="P338" s="52" t="e">
        <f t="shared" si="107"/>
        <v>#N/A</v>
      </c>
    </row>
    <row r="339" spans="3:16" ht="14.4" x14ac:dyDescent="0.3">
      <c r="C339" s="49" t="e">
        <f>VLOOKUP(B339,DAY!$C$2:$D$7,2,FALSE)</f>
        <v>#N/A</v>
      </c>
      <c r="D339" s="17"/>
      <c r="G339"/>
      <c r="H339"/>
      <c r="I339" s="52">
        <f t="shared" si="108"/>
        <v>1</v>
      </c>
      <c r="K339" s="52" t="str">
        <f t="shared" si="109"/>
        <v xml:space="preserve">-  </v>
      </c>
      <c r="L339" s="52" t="str">
        <f t="shared" si="110"/>
        <v xml:space="preserve"> --</v>
      </c>
      <c r="M339" s="52" t="str">
        <f t="shared" si="111"/>
        <v>- -</v>
      </c>
      <c r="N339" s="19"/>
      <c r="O339" s="52" t="e">
        <f t="shared" si="106"/>
        <v>#N/A</v>
      </c>
      <c r="P339" s="52" t="e">
        <f t="shared" si="107"/>
        <v>#N/A</v>
      </c>
    </row>
    <row r="340" spans="3:16" ht="14.4" x14ac:dyDescent="0.3">
      <c r="C340" s="49" t="e">
        <f>VLOOKUP(B340,DAY!$C$2:$D$7,2,FALSE)</f>
        <v>#N/A</v>
      </c>
      <c r="D340" s="17"/>
      <c r="G340"/>
      <c r="H340"/>
      <c r="I340" s="52">
        <f t="shared" si="108"/>
        <v>1</v>
      </c>
      <c r="K340" s="52" t="str">
        <f t="shared" si="109"/>
        <v xml:space="preserve">-  </v>
      </c>
      <c r="L340" s="52" t="str">
        <f t="shared" si="110"/>
        <v xml:space="preserve"> --</v>
      </c>
      <c r="M340" s="52" t="str">
        <f t="shared" si="111"/>
        <v>- -</v>
      </c>
      <c r="N340" s="19"/>
      <c r="O340" s="52" t="e">
        <f t="shared" si="106"/>
        <v>#N/A</v>
      </c>
      <c r="P340" s="52" t="e">
        <f t="shared" si="107"/>
        <v>#N/A</v>
      </c>
    </row>
    <row r="341" spans="3:16" ht="14.4" x14ac:dyDescent="0.3">
      <c r="C341" s="49" t="e">
        <f>VLOOKUP(B341,DAY!$C$2:$D$7,2,FALSE)</f>
        <v>#N/A</v>
      </c>
      <c r="D341" s="17"/>
      <c r="G341" s="19"/>
      <c r="H341"/>
      <c r="I341" s="52">
        <f t="shared" si="108"/>
        <v>1</v>
      </c>
      <c r="K341" s="52" t="str">
        <f t="shared" si="109"/>
        <v xml:space="preserve">-  </v>
      </c>
      <c r="L341" s="52" t="str">
        <f t="shared" si="110"/>
        <v xml:space="preserve"> --</v>
      </c>
      <c r="M341" s="52" t="str">
        <f t="shared" si="111"/>
        <v>- -</v>
      </c>
      <c r="N341" s="19"/>
      <c r="O341" s="52" t="e">
        <f t="shared" si="106"/>
        <v>#N/A</v>
      </c>
      <c r="P341" s="52" t="e">
        <f t="shared" si="107"/>
        <v>#N/A</v>
      </c>
    </row>
    <row r="342" spans="3:16" ht="14.4" x14ac:dyDescent="0.3">
      <c r="C342" s="49" t="e">
        <f>VLOOKUP(B342,DAY!$C$2:$D$7,2,FALSE)</f>
        <v>#N/A</v>
      </c>
      <c r="D342" s="17"/>
      <c r="G342" s="19"/>
      <c r="H342"/>
      <c r="I342" s="52">
        <f t="shared" si="108"/>
        <v>1</v>
      </c>
      <c r="K342" s="52" t="str">
        <f t="shared" si="109"/>
        <v xml:space="preserve">-  </v>
      </c>
      <c r="L342" s="52" t="str">
        <f t="shared" si="110"/>
        <v xml:space="preserve"> --</v>
      </c>
      <c r="M342" s="52" t="str">
        <f t="shared" si="111"/>
        <v>- -</v>
      </c>
      <c r="N342" s="19"/>
      <c r="O342" s="52" t="e">
        <f t="shared" si="106"/>
        <v>#N/A</v>
      </c>
      <c r="P342" s="52" t="e">
        <f t="shared" si="107"/>
        <v>#N/A</v>
      </c>
    </row>
    <row r="343" spans="3:16" ht="14.4" x14ac:dyDescent="0.3">
      <c r="C343" s="49" t="e">
        <f>VLOOKUP(B343,DAY!$C$2:$D$7,2,FALSE)</f>
        <v>#N/A</v>
      </c>
      <c r="D343" s="17"/>
      <c r="G343" s="19"/>
      <c r="H343"/>
      <c r="I343" s="52">
        <f t="shared" si="108"/>
        <v>1</v>
      </c>
      <c r="K343" s="52" t="str">
        <f t="shared" si="109"/>
        <v xml:space="preserve">-  </v>
      </c>
      <c r="L343" s="52" t="str">
        <f t="shared" si="110"/>
        <v xml:space="preserve"> --</v>
      </c>
      <c r="M343" s="52" t="str">
        <f t="shared" si="111"/>
        <v>- -</v>
      </c>
      <c r="N343" s="19"/>
      <c r="O343" s="52" t="e">
        <f t="shared" si="106"/>
        <v>#N/A</v>
      </c>
      <c r="P343" s="52" t="e">
        <f t="shared" si="107"/>
        <v>#N/A</v>
      </c>
    </row>
    <row r="344" spans="3:16" ht="14.4" x14ac:dyDescent="0.3">
      <c r="C344" s="49" t="e">
        <f>VLOOKUP(B344,DAY!$C$2:$D$7,2,FALSE)</f>
        <v>#N/A</v>
      </c>
      <c r="D344" s="17"/>
      <c r="G344"/>
      <c r="H344"/>
      <c r="I344" s="52">
        <f t="shared" si="108"/>
        <v>1</v>
      </c>
      <c r="K344" s="52" t="str">
        <f t="shared" si="109"/>
        <v xml:space="preserve">-  </v>
      </c>
      <c r="L344" s="52" t="str">
        <f t="shared" si="110"/>
        <v xml:space="preserve"> --</v>
      </c>
      <c r="M344" s="52" t="str">
        <f t="shared" si="111"/>
        <v>- -</v>
      </c>
      <c r="N344" s="19"/>
      <c r="O344" s="52" t="e">
        <f t="shared" si="106"/>
        <v>#N/A</v>
      </c>
      <c r="P344" s="52" t="e">
        <f t="shared" si="107"/>
        <v>#N/A</v>
      </c>
    </row>
    <row r="345" spans="3:16" ht="14.4" x14ac:dyDescent="0.3">
      <c r="C345" s="49" t="e">
        <f>VLOOKUP(B345,DAY!$C$2:$D$7,2,FALSE)</f>
        <v>#N/A</v>
      </c>
      <c r="D345" s="17"/>
      <c r="G345"/>
      <c r="H345"/>
      <c r="I345" s="52">
        <f t="shared" si="108"/>
        <v>1</v>
      </c>
      <c r="K345" s="52" t="str">
        <f t="shared" si="109"/>
        <v xml:space="preserve">-  </v>
      </c>
      <c r="L345" s="52" t="str">
        <f t="shared" si="110"/>
        <v xml:space="preserve"> --</v>
      </c>
      <c r="M345" s="52" t="str">
        <f t="shared" si="111"/>
        <v>- -</v>
      </c>
      <c r="N345" s="19"/>
      <c r="O345" s="52" t="e">
        <f t="shared" si="106"/>
        <v>#N/A</v>
      </c>
      <c r="P345" s="52" t="e">
        <f t="shared" si="107"/>
        <v>#N/A</v>
      </c>
    </row>
    <row r="346" spans="3:16" ht="14.4" x14ac:dyDescent="0.3">
      <c r="C346" s="49" t="e">
        <f>VLOOKUP(B346,DAY!$C$2:$D$7,2,FALSE)</f>
        <v>#N/A</v>
      </c>
      <c r="D346" s="17"/>
      <c r="G346"/>
      <c r="H346"/>
      <c r="I346" s="52">
        <f t="shared" ref="I346" si="112">IF(H346="",1,2)</f>
        <v>1</v>
      </c>
      <c r="K346" s="52" t="str">
        <f t="shared" ref="K346" si="113">E346&amp;"-"&amp;A346&amp;" "&amp;H346&amp;" "&amp;G346</f>
        <v xml:space="preserve">-  </v>
      </c>
      <c r="L346" s="52" t="str">
        <f t="shared" ref="L346" si="114">H346&amp;" "&amp;E346&amp;"-"&amp;F346&amp;"-"&amp;G346</f>
        <v xml:space="preserve"> --</v>
      </c>
      <c r="M346" s="52" t="str">
        <f t="shared" ref="M346" si="115">A346&amp;"-"&amp;H346&amp;" "&amp;E346&amp;"-"&amp;F346</f>
        <v>- -</v>
      </c>
      <c r="N346" s="19"/>
      <c r="O346" s="52" t="e">
        <f t="shared" si="106"/>
        <v>#N/A</v>
      </c>
      <c r="P346" s="52" t="e">
        <f t="shared" si="107"/>
        <v>#N/A</v>
      </c>
    </row>
    <row r="347" spans="3:16" ht="14.4" x14ac:dyDescent="0.3">
      <c r="C347" s="49" t="e">
        <f>VLOOKUP(B347,DAY!$C$2:$D$7,2,FALSE)</f>
        <v>#N/A</v>
      </c>
      <c r="D347" s="17"/>
      <c r="G347"/>
      <c r="H347"/>
      <c r="I347" s="52">
        <f t="shared" si="108"/>
        <v>1</v>
      </c>
      <c r="K347" s="52" t="str">
        <f t="shared" si="109"/>
        <v xml:space="preserve">-  </v>
      </c>
      <c r="L347" s="52" t="str">
        <f t="shared" si="110"/>
        <v xml:space="preserve"> --</v>
      </c>
      <c r="M347" s="52" t="str">
        <f t="shared" si="111"/>
        <v>- -</v>
      </c>
      <c r="N347" s="19"/>
      <c r="O347" s="52" t="e">
        <f t="shared" si="106"/>
        <v>#N/A</v>
      </c>
      <c r="P347" s="52" t="e">
        <f t="shared" si="107"/>
        <v>#N/A</v>
      </c>
    </row>
    <row r="348" spans="3:16" ht="14.4" x14ac:dyDescent="0.3">
      <c r="C348" s="49" t="e">
        <f>VLOOKUP(B348,DAY!$C$2:$D$7,2,FALSE)</f>
        <v>#N/A</v>
      </c>
      <c r="D348" s="17"/>
      <c r="G348"/>
      <c r="H348"/>
      <c r="I348" s="52">
        <f t="shared" si="108"/>
        <v>1</v>
      </c>
      <c r="K348" s="52" t="str">
        <f t="shared" si="109"/>
        <v xml:space="preserve">-  </v>
      </c>
      <c r="L348" s="52" t="str">
        <f t="shared" si="110"/>
        <v xml:space="preserve"> --</v>
      </c>
      <c r="M348" s="52" t="str">
        <f t="shared" si="111"/>
        <v>- -</v>
      </c>
      <c r="N348" s="19"/>
      <c r="O348" s="52" t="e">
        <f t="shared" si="106"/>
        <v>#N/A</v>
      </c>
      <c r="P348" s="52" t="e">
        <f t="shared" si="107"/>
        <v>#N/A</v>
      </c>
    </row>
    <row r="349" spans="3:16" ht="14.4" x14ac:dyDescent="0.3">
      <c r="C349" s="49" t="e">
        <f>VLOOKUP(B349,DAY!$C$2:$D$7,2,FALSE)</f>
        <v>#N/A</v>
      </c>
      <c r="D349" s="17"/>
      <c r="G349"/>
      <c r="H349"/>
      <c r="I349" s="52">
        <f t="shared" si="108"/>
        <v>1</v>
      </c>
      <c r="K349" s="52" t="str">
        <f t="shared" si="109"/>
        <v xml:space="preserve">-  </v>
      </c>
      <c r="L349" s="52" t="str">
        <f t="shared" si="110"/>
        <v xml:space="preserve"> --</v>
      </c>
      <c r="M349" s="52" t="str">
        <f t="shared" si="111"/>
        <v>- -</v>
      </c>
      <c r="N349" s="19"/>
      <c r="O349" s="52" t="e">
        <f t="shared" si="106"/>
        <v>#N/A</v>
      </c>
      <c r="P349" s="52" t="e">
        <f t="shared" si="107"/>
        <v>#N/A</v>
      </c>
    </row>
    <row r="350" spans="3:16" ht="14.4" x14ac:dyDescent="0.3">
      <c r="C350" s="49" t="e">
        <f>VLOOKUP(B350,DAY!$C$2:$D$7,2,FALSE)</f>
        <v>#N/A</v>
      </c>
      <c r="D350" s="17"/>
      <c r="G350"/>
      <c r="H350"/>
      <c r="I350" s="52">
        <f t="shared" si="108"/>
        <v>1</v>
      </c>
      <c r="K350" s="52" t="str">
        <f t="shared" si="109"/>
        <v xml:space="preserve">-  </v>
      </c>
      <c r="L350" s="52" t="str">
        <f t="shared" si="110"/>
        <v xml:space="preserve"> --</v>
      </c>
      <c r="M350" s="52" t="str">
        <f t="shared" si="111"/>
        <v>- -</v>
      </c>
      <c r="N350" s="19"/>
      <c r="O350" s="52" t="e">
        <f t="shared" si="106"/>
        <v>#N/A</v>
      </c>
      <c r="P350" s="52" t="e">
        <f t="shared" si="107"/>
        <v>#N/A</v>
      </c>
    </row>
    <row r="351" spans="3:16" ht="14.4" x14ac:dyDescent="0.3">
      <c r="C351" s="49" t="e">
        <f>VLOOKUP(B351,DAY!$C$2:$D$7,2,FALSE)</f>
        <v>#N/A</v>
      </c>
      <c r="D351" s="17"/>
      <c r="G351"/>
      <c r="H351"/>
      <c r="I351" s="52">
        <f t="shared" si="108"/>
        <v>1</v>
      </c>
      <c r="K351" s="52" t="str">
        <f t="shared" si="109"/>
        <v xml:space="preserve">-  </v>
      </c>
      <c r="L351" s="52" t="str">
        <f t="shared" si="110"/>
        <v xml:space="preserve"> --</v>
      </c>
      <c r="M351" s="52" t="str">
        <f t="shared" si="111"/>
        <v>- -</v>
      </c>
      <c r="N351" s="19"/>
      <c r="O351" s="52" t="e">
        <f t="shared" si="106"/>
        <v>#N/A</v>
      </c>
      <c r="P351" s="52" t="e">
        <f t="shared" si="107"/>
        <v>#N/A</v>
      </c>
    </row>
    <row r="352" spans="3:16" ht="14.4" x14ac:dyDescent="0.3">
      <c r="C352" s="49" t="e">
        <f>VLOOKUP(B352,DAY!$C$2:$D$7,2,FALSE)</f>
        <v>#N/A</v>
      </c>
      <c r="D352" s="17"/>
      <c r="G352"/>
      <c r="H352"/>
      <c r="I352" s="52">
        <f t="shared" ref="I352:I355" si="116">IF(H352="",1,2)</f>
        <v>1</v>
      </c>
      <c r="K352" s="52" t="str">
        <f t="shared" ref="K352" si="117">E352&amp;"-"&amp;A352&amp;" "&amp;H352&amp;" "&amp;G352</f>
        <v xml:space="preserve">-  </v>
      </c>
      <c r="L352" s="52" t="str">
        <f t="shared" ref="L352" si="118">H352&amp;" "&amp;E352&amp;"-"&amp;F352&amp;"-"&amp;G352</f>
        <v xml:space="preserve"> --</v>
      </c>
      <c r="M352" s="52" t="str">
        <f t="shared" ref="M352" si="119">A352&amp;"-"&amp;H352&amp;" "&amp;E352&amp;"-"&amp;F352</f>
        <v>- -</v>
      </c>
      <c r="N352" s="19"/>
      <c r="O352" s="52" t="e">
        <f t="shared" si="106"/>
        <v>#N/A</v>
      </c>
      <c r="P352" s="52" t="e">
        <f t="shared" si="107"/>
        <v>#N/A</v>
      </c>
    </row>
    <row r="353" spans="3:16" ht="14.4" x14ac:dyDescent="0.3">
      <c r="C353" s="49" t="e">
        <f>VLOOKUP(B353,DAY!$C$2:$D$7,2,FALSE)</f>
        <v>#N/A</v>
      </c>
      <c r="D353" s="17"/>
      <c r="G353"/>
      <c r="H353"/>
      <c r="I353" s="52">
        <f t="shared" si="116"/>
        <v>1</v>
      </c>
      <c r="K353" s="52" t="str">
        <f t="shared" si="109"/>
        <v xml:space="preserve">-  </v>
      </c>
      <c r="L353" s="52" t="str">
        <f t="shared" si="110"/>
        <v xml:space="preserve"> --</v>
      </c>
      <c r="M353" s="52" t="str">
        <f t="shared" si="111"/>
        <v>- -</v>
      </c>
      <c r="N353" s="19"/>
      <c r="O353" s="52" t="e">
        <f t="shared" si="106"/>
        <v>#N/A</v>
      </c>
      <c r="P353" s="52" t="e">
        <f t="shared" si="107"/>
        <v>#N/A</v>
      </c>
    </row>
    <row r="354" spans="3:16" ht="14.4" x14ac:dyDescent="0.3">
      <c r="C354" s="49" t="e">
        <f>VLOOKUP(B354,DAY!$C$2:$D$7,2,FALSE)</f>
        <v>#N/A</v>
      </c>
      <c r="D354" s="17"/>
      <c r="G354"/>
      <c r="H354"/>
      <c r="I354" s="52">
        <f t="shared" si="116"/>
        <v>1</v>
      </c>
      <c r="K354" s="52" t="str">
        <f t="shared" si="109"/>
        <v xml:space="preserve">-  </v>
      </c>
      <c r="L354" s="52" t="str">
        <f t="shared" si="110"/>
        <v xml:space="preserve"> --</v>
      </c>
      <c r="M354" s="52" t="str">
        <f t="shared" si="111"/>
        <v>- -</v>
      </c>
      <c r="N354" s="19"/>
      <c r="O354" s="52" t="e">
        <f t="shared" si="106"/>
        <v>#N/A</v>
      </c>
      <c r="P354" s="52" t="e">
        <f t="shared" si="107"/>
        <v>#N/A</v>
      </c>
    </row>
    <row r="355" spans="3:16" ht="14.4" x14ac:dyDescent="0.3">
      <c r="C355" s="49" t="e">
        <f>VLOOKUP(B355,DAY!$C$2:$D$7,2,FALSE)</f>
        <v>#N/A</v>
      </c>
      <c r="D355" s="17"/>
      <c r="G355"/>
      <c r="H355"/>
      <c r="I355" s="52">
        <f t="shared" si="116"/>
        <v>1</v>
      </c>
      <c r="K355" s="52" t="str">
        <f t="shared" si="109"/>
        <v xml:space="preserve">-  </v>
      </c>
      <c r="L355" s="52" t="str">
        <f t="shared" si="110"/>
        <v xml:space="preserve"> --</v>
      </c>
      <c r="M355" s="52" t="str">
        <f t="shared" si="111"/>
        <v>- -</v>
      </c>
      <c r="N355" s="19"/>
      <c r="O355" s="52" t="e">
        <f t="shared" si="106"/>
        <v>#N/A</v>
      </c>
      <c r="P355" s="52" t="e">
        <f t="shared" si="107"/>
        <v>#N/A</v>
      </c>
    </row>
    <row r="356" spans="3:16" ht="14.4" x14ac:dyDescent="0.3">
      <c r="C356" s="49" t="e">
        <f>VLOOKUP(B356,DAY!$C$2:$D$7,2,FALSE)</f>
        <v>#N/A</v>
      </c>
      <c r="D356" s="17"/>
      <c r="G356"/>
      <c r="H356"/>
      <c r="I356" s="52">
        <f t="shared" si="108"/>
        <v>1</v>
      </c>
      <c r="K356" s="52" t="str">
        <f t="shared" si="109"/>
        <v xml:space="preserve">-  </v>
      </c>
      <c r="L356" s="52" t="str">
        <f t="shared" si="110"/>
        <v xml:space="preserve"> --</v>
      </c>
      <c r="M356" s="52" t="str">
        <f t="shared" si="111"/>
        <v>- -</v>
      </c>
      <c r="N356" s="19"/>
      <c r="O356" s="52" t="e">
        <f t="shared" si="106"/>
        <v>#N/A</v>
      </c>
      <c r="P356" s="52" t="e">
        <f t="shared" si="107"/>
        <v>#N/A</v>
      </c>
    </row>
    <row r="357" spans="3:16" ht="14.4" x14ac:dyDescent="0.3">
      <c r="C357" s="49" t="e">
        <f>VLOOKUP(B357,DAY!$C$2:$D$7,2,FALSE)</f>
        <v>#N/A</v>
      </c>
      <c r="D357" s="17"/>
      <c r="G357"/>
      <c r="H357"/>
      <c r="I357" s="52">
        <f t="shared" si="108"/>
        <v>1</v>
      </c>
      <c r="K357" s="52" t="str">
        <f t="shared" si="109"/>
        <v xml:space="preserve">-  </v>
      </c>
      <c r="L357" s="52" t="str">
        <f t="shared" si="110"/>
        <v xml:space="preserve"> --</v>
      </c>
      <c r="M357" s="52" t="str">
        <f t="shared" si="111"/>
        <v>- -</v>
      </c>
      <c r="N357" s="19"/>
      <c r="O357" s="52" t="e">
        <f t="shared" si="106"/>
        <v>#N/A</v>
      </c>
      <c r="P357" s="52" t="e">
        <f t="shared" si="107"/>
        <v>#N/A</v>
      </c>
    </row>
    <row r="358" spans="3:16" ht="14.4" x14ac:dyDescent="0.3">
      <c r="C358" s="49" t="e">
        <f>VLOOKUP(B358,DAY!$C$2:$D$7,2,FALSE)</f>
        <v>#N/A</v>
      </c>
      <c r="D358" s="17"/>
      <c r="G358"/>
      <c r="H358"/>
      <c r="I358" s="52">
        <f t="shared" si="108"/>
        <v>1</v>
      </c>
      <c r="K358" s="52" t="str">
        <f t="shared" si="109"/>
        <v xml:space="preserve">-  </v>
      </c>
      <c r="L358" s="52" t="str">
        <f t="shared" si="110"/>
        <v xml:space="preserve"> --</v>
      </c>
      <c r="M358" s="52" t="str">
        <f t="shared" si="111"/>
        <v>- -</v>
      </c>
      <c r="N358" s="19"/>
      <c r="O358" s="52" t="e">
        <f t="shared" si="106"/>
        <v>#N/A</v>
      </c>
      <c r="P358" s="52" t="e">
        <f t="shared" si="107"/>
        <v>#N/A</v>
      </c>
    </row>
    <row r="359" spans="3:16" ht="14.4" x14ac:dyDescent="0.3">
      <c r="C359" s="49" t="e">
        <f>VLOOKUP(B359,DAY!$C$2:$D$7,2,FALSE)</f>
        <v>#N/A</v>
      </c>
      <c r="D359" s="17"/>
      <c r="G359"/>
      <c r="H359"/>
      <c r="I359" s="52">
        <f t="shared" si="108"/>
        <v>1</v>
      </c>
      <c r="K359" s="52" t="str">
        <f t="shared" si="109"/>
        <v xml:space="preserve">-  </v>
      </c>
      <c r="L359" s="52" t="str">
        <f t="shared" si="110"/>
        <v xml:space="preserve"> --</v>
      </c>
      <c r="M359" s="52" t="str">
        <f t="shared" si="111"/>
        <v>- -</v>
      </c>
      <c r="N359" s="19"/>
      <c r="O359" s="52" t="e">
        <f t="shared" si="106"/>
        <v>#N/A</v>
      </c>
      <c r="P359" s="52" t="e">
        <f t="shared" si="107"/>
        <v>#N/A</v>
      </c>
    </row>
    <row r="360" spans="3:16" ht="14.4" x14ac:dyDescent="0.3">
      <c r="C360" s="49" t="e">
        <f>VLOOKUP(B360,DAY!$C$2:$D$7,2,FALSE)</f>
        <v>#N/A</v>
      </c>
      <c r="D360" s="17"/>
      <c r="G360"/>
      <c r="H360"/>
      <c r="I360" s="52">
        <f t="shared" si="108"/>
        <v>1</v>
      </c>
      <c r="K360" s="52" t="str">
        <f t="shared" si="109"/>
        <v xml:space="preserve">-  </v>
      </c>
      <c r="L360" s="52" t="str">
        <f t="shared" si="110"/>
        <v xml:space="preserve"> --</v>
      </c>
      <c r="M360" s="52" t="str">
        <f t="shared" si="111"/>
        <v>- -</v>
      </c>
      <c r="N360" s="19"/>
      <c r="O360" s="52" t="e">
        <f t="shared" si="106"/>
        <v>#N/A</v>
      </c>
      <c r="P360" s="52" t="e">
        <f t="shared" si="107"/>
        <v>#N/A</v>
      </c>
    </row>
    <row r="361" spans="3:16" ht="14.4" x14ac:dyDescent="0.3">
      <c r="C361" s="49" t="e">
        <f>VLOOKUP(B361,DAY!$C$2:$D$7,2,FALSE)</f>
        <v>#N/A</v>
      </c>
      <c r="D361" s="17"/>
      <c r="G361"/>
      <c r="H361"/>
      <c r="I361" s="52">
        <f t="shared" si="108"/>
        <v>1</v>
      </c>
      <c r="K361" s="52" t="str">
        <f t="shared" si="109"/>
        <v xml:space="preserve">-  </v>
      </c>
      <c r="L361" s="52" t="str">
        <f t="shared" si="110"/>
        <v xml:space="preserve"> --</v>
      </c>
      <c r="M361" s="52" t="str">
        <f t="shared" si="111"/>
        <v>- -</v>
      </c>
      <c r="N361" s="19"/>
      <c r="O361" s="52" t="e">
        <f t="shared" si="106"/>
        <v>#N/A</v>
      </c>
      <c r="P361" s="52" t="e">
        <f t="shared" si="107"/>
        <v>#N/A</v>
      </c>
    </row>
    <row r="362" spans="3:16" ht="14.4" x14ac:dyDescent="0.3">
      <c r="C362" s="49" t="e">
        <f>VLOOKUP(B362,DAY!$C$2:$D$7,2,FALSE)</f>
        <v>#N/A</v>
      </c>
      <c r="D362" s="17"/>
      <c r="G362"/>
      <c r="H362"/>
      <c r="I362" s="52">
        <f t="shared" ref="I362" si="120">IF(H362="",1,2)</f>
        <v>1</v>
      </c>
      <c r="K362" s="52" t="str">
        <f t="shared" ref="K362" si="121">E362&amp;"-"&amp;A362&amp;" "&amp;H362&amp;" "&amp;G362</f>
        <v xml:space="preserve">-  </v>
      </c>
      <c r="L362" s="52" t="str">
        <f t="shared" ref="L362" si="122">H362&amp;" "&amp;E362&amp;"-"&amp;F362&amp;"-"&amp;G362</f>
        <v xml:space="preserve"> --</v>
      </c>
      <c r="M362" s="52" t="str">
        <f t="shared" ref="M362" si="123">A362&amp;"-"&amp;H362&amp;" "&amp;E362&amp;"-"&amp;F362</f>
        <v>- -</v>
      </c>
      <c r="N362" s="19"/>
      <c r="O362" s="52" t="e">
        <f t="shared" ref="O362" si="124">C362&amp;D362&amp;F362</f>
        <v>#N/A</v>
      </c>
      <c r="P362" s="52" t="e">
        <f t="shared" ref="P362" si="125">C362&amp;D362&amp;G362</f>
        <v>#N/A</v>
      </c>
    </row>
    <row r="363" spans="3:16" ht="14.4" x14ac:dyDescent="0.3">
      <c r="C363" s="49" t="e">
        <f>VLOOKUP(B363,DAY!$C$2:$D$7,2,FALSE)</f>
        <v>#N/A</v>
      </c>
      <c r="D363" s="17"/>
      <c r="G363"/>
      <c r="H363"/>
      <c r="I363" s="52">
        <f t="shared" si="108"/>
        <v>1</v>
      </c>
      <c r="K363" s="52" t="str">
        <f t="shared" si="109"/>
        <v xml:space="preserve">-  </v>
      </c>
      <c r="L363" s="52" t="str">
        <f t="shared" si="110"/>
        <v xml:space="preserve"> --</v>
      </c>
      <c r="M363" s="52" t="str">
        <f t="shared" si="111"/>
        <v>- -</v>
      </c>
      <c r="N363" s="19"/>
      <c r="O363" s="52" t="e">
        <f t="shared" si="106"/>
        <v>#N/A</v>
      </c>
      <c r="P363" s="52" t="e">
        <f t="shared" si="107"/>
        <v>#N/A</v>
      </c>
    </row>
    <row r="364" spans="3:16" ht="14.4" x14ac:dyDescent="0.3">
      <c r="C364" s="49" t="e">
        <f>VLOOKUP(B364,DAY!$C$2:$D$7,2,FALSE)</f>
        <v>#N/A</v>
      </c>
      <c r="D364" s="17"/>
      <c r="G364"/>
      <c r="H364"/>
      <c r="I364" s="52">
        <f t="shared" ref="I364" si="126">IF(H364="",1,2)</f>
        <v>1</v>
      </c>
      <c r="K364" s="52" t="str">
        <f t="shared" ref="K364" si="127">E364&amp;"-"&amp;A364&amp;" "&amp;H364&amp;" "&amp;G364</f>
        <v xml:space="preserve">-  </v>
      </c>
      <c r="L364" s="52" t="str">
        <f t="shared" ref="L364" si="128">H364&amp;" "&amp;E364&amp;"-"&amp;F364&amp;"-"&amp;G364</f>
        <v xml:space="preserve"> --</v>
      </c>
      <c r="M364" s="52" t="str">
        <f t="shared" ref="M364" si="129">A364&amp;"-"&amp;H364&amp;" "&amp;E364&amp;"-"&amp;F364</f>
        <v>- -</v>
      </c>
      <c r="N364" s="19"/>
      <c r="O364" s="52" t="e">
        <f t="shared" ref="O364" si="130">C364&amp;D364&amp;F364</f>
        <v>#N/A</v>
      </c>
      <c r="P364" s="52" t="e">
        <f t="shared" ref="P364" si="131">C364&amp;D364&amp;G364</f>
        <v>#N/A</v>
      </c>
    </row>
    <row r="365" spans="3:16" ht="14.4" x14ac:dyDescent="0.3">
      <c r="C365" s="49" t="e">
        <f>VLOOKUP(B365,DAY!$C$2:$D$7,2,FALSE)</f>
        <v>#N/A</v>
      </c>
      <c r="D365" s="17"/>
      <c r="G365"/>
      <c r="H365"/>
      <c r="I365" s="52">
        <f t="shared" si="108"/>
        <v>1</v>
      </c>
      <c r="K365" s="52" t="str">
        <f t="shared" si="109"/>
        <v xml:space="preserve">-  </v>
      </c>
      <c r="L365" s="52" t="str">
        <f t="shared" si="110"/>
        <v xml:space="preserve"> --</v>
      </c>
      <c r="M365" s="52" t="str">
        <f t="shared" si="111"/>
        <v>- -</v>
      </c>
      <c r="N365" s="19"/>
      <c r="O365" s="52" t="e">
        <f t="shared" si="106"/>
        <v>#N/A</v>
      </c>
      <c r="P365" s="52" t="e">
        <f t="shared" si="107"/>
        <v>#N/A</v>
      </c>
    </row>
    <row r="366" spans="3:16" ht="14.4" x14ac:dyDescent="0.3">
      <c r="C366" s="49" t="e">
        <f>VLOOKUP(B366,DAY!$C$2:$D$7,2,FALSE)</f>
        <v>#N/A</v>
      </c>
      <c r="D366" s="17"/>
      <c r="G366"/>
      <c r="H366"/>
      <c r="I366" s="52">
        <v>1</v>
      </c>
      <c r="K366" s="52" t="str">
        <f t="shared" si="109"/>
        <v xml:space="preserve">-  </v>
      </c>
      <c r="L366" s="52" t="str">
        <f t="shared" si="110"/>
        <v xml:space="preserve"> --</v>
      </c>
      <c r="M366" s="52" t="str">
        <f t="shared" si="111"/>
        <v>- -</v>
      </c>
      <c r="N366" s="19"/>
      <c r="O366" s="52" t="e">
        <f t="shared" si="106"/>
        <v>#N/A</v>
      </c>
      <c r="P366" s="52" t="e">
        <f t="shared" si="107"/>
        <v>#N/A</v>
      </c>
    </row>
    <row r="367" spans="3:16" ht="14.4" x14ac:dyDescent="0.3">
      <c r="C367" s="49" t="e">
        <f>VLOOKUP(B367,DAY!$C$2:$D$7,2,FALSE)</f>
        <v>#N/A</v>
      </c>
      <c r="D367" s="17"/>
      <c r="G367"/>
      <c r="H367"/>
      <c r="I367" s="52">
        <v>1</v>
      </c>
      <c r="K367" s="52" t="str">
        <f t="shared" ref="K367" si="132">E367&amp;"-"&amp;A367&amp;" "&amp;H367&amp;" "&amp;G367</f>
        <v xml:space="preserve">-  </v>
      </c>
      <c r="L367" s="52" t="str">
        <f t="shared" ref="L367" si="133">H367&amp;" "&amp;E367&amp;"-"&amp;F367&amp;"-"&amp;G367</f>
        <v xml:space="preserve"> --</v>
      </c>
      <c r="M367" s="52" t="str">
        <f t="shared" ref="M367" si="134">A367&amp;"-"&amp;H367&amp;" "&amp;E367&amp;"-"&amp;F367</f>
        <v>- -</v>
      </c>
      <c r="N367" s="19"/>
      <c r="O367" s="52" t="e">
        <f t="shared" si="106"/>
        <v>#N/A</v>
      </c>
      <c r="P367" s="52" t="e">
        <f t="shared" si="107"/>
        <v>#N/A</v>
      </c>
    </row>
    <row r="368" spans="3:16" ht="14.4" x14ac:dyDescent="0.3">
      <c r="C368" s="49" t="e">
        <f>VLOOKUP(B368,DAY!$C$2:$D$7,2,FALSE)</f>
        <v>#N/A</v>
      </c>
      <c r="D368" s="17"/>
      <c r="G368"/>
      <c r="H368"/>
      <c r="I368" s="52">
        <v>1</v>
      </c>
      <c r="K368" s="52" t="str">
        <f t="shared" ref="K368" si="135">E368&amp;"-"&amp;A368&amp;" "&amp;H368&amp;" "&amp;G368</f>
        <v xml:space="preserve">-  </v>
      </c>
      <c r="L368" s="52" t="str">
        <f t="shared" ref="L368" si="136">H368&amp;" "&amp;E368&amp;"-"&amp;F368&amp;"-"&amp;G368</f>
        <v xml:space="preserve"> --</v>
      </c>
      <c r="M368" s="52" t="str">
        <f t="shared" ref="M368" si="137">A368&amp;"-"&amp;H368&amp;" "&amp;E368&amp;"-"&amp;F368</f>
        <v>- -</v>
      </c>
      <c r="N368" s="19"/>
      <c r="O368" s="52" t="e">
        <f t="shared" si="106"/>
        <v>#N/A</v>
      </c>
      <c r="P368" s="52" t="e">
        <f t="shared" si="107"/>
        <v>#N/A</v>
      </c>
    </row>
    <row r="369" spans="3:16" ht="14.4" x14ac:dyDescent="0.3">
      <c r="C369" s="49" t="e">
        <f>VLOOKUP(B369,DAY!$C$2:$D$7,2,FALSE)</f>
        <v>#N/A</v>
      </c>
      <c r="D369" s="17"/>
      <c r="G369"/>
      <c r="H369"/>
      <c r="I369" s="52">
        <f t="shared" si="108"/>
        <v>1</v>
      </c>
      <c r="K369" s="52" t="str">
        <f t="shared" si="109"/>
        <v xml:space="preserve">-  </v>
      </c>
      <c r="L369" s="52" t="str">
        <f t="shared" si="110"/>
        <v xml:space="preserve"> --</v>
      </c>
      <c r="M369" s="52" t="str">
        <f t="shared" si="111"/>
        <v>- -</v>
      </c>
      <c r="N369" s="19"/>
      <c r="O369" s="52" t="e">
        <f t="shared" si="106"/>
        <v>#N/A</v>
      </c>
      <c r="P369" s="52" t="e">
        <f t="shared" si="107"/>
        <v>#N/A</v>
      </c>
    </row>
    <row r="370" spans="3:16" ht="14.4" x14ac:dyDescent="0.3">
      <c r="C370" s="49" t="e">
        <f>VLOOKUP(B370,DAY!$C$2:$D$7,2,FALSE)</f>
        <v>#N/A</v>
      </c>
      <c r="D370" s="17"/>
      <c r="G370"/>
      <c r="H370"/>
      <c r="I370" s="52">
        <f t="shared" si="108"/>
        <v>1</v>
      </c>
      <c r="K370" s="52" t="str">
        <f t="shared" si="109"/>
        <v xml:space="preserve">-  </v>
      </c>
      <c r="L370" s="52" t="str">
        <f t="shared" si="110"/>
        <v xml:space="preserve"> --</v>
      </c>
      <c r="M370" s="52" t="str">
        <f t="shared" si="111"/>
        <v>- -</v>
      </c>
      <c r="N370" s="19"/>
      <c r="O370" s="52" t="e">
        <f t="shared" si="106"/>
        <v>#N/A</v>
      </c>
      <c r="P370" s="52" t="e">
        <f t="shared" si="107"/>
        <v>#N/A</v>
      </c>
    </row>
    <row r="371" spans="3:16" ht="14.4" x14ac:dyDescent="0.3">
      <c r="C371" s="49" t="e">
        <f>VLOOKUP(B371,DAY!$C$2:$D$7,2,FALSE)</f>
        <v>#N/A</v>
      </c>
      <c r="D371" s="17"/>
      <c r="G371"/>
      <c r="H371"/>
      <c r="I371" s="52">
        <f t="shared" si="108"/>
        <v>1</v>
      </c>
      <c r="K371" s="52" t="str">
        <f t="shared" si="109"/>
        <v xml:space="preserve">-  </v>
      </c>
      <c r="L371" s="52" t="str">
        <f t="shared" si="110"/>
        <v xml:space="preserve"> --</v>
      </c>
      <c r="M371" s="52" t="str">
        <f t="shared" si="111"/>
        <v>- -</v>
      </c>
      <c r="N371" s="19"/>
      <c r="O371" s="52" t="e">
        <f t="shared" si="106"/>
        <v>#N/A</v>
      </c>
      <c r="P371" s="52" t="e">
        <f t="shared" si="107"/>
        <v>#N/A</v>
      </c>
    </row>
    <row r="372" spans="3:16" ht="14.4" x14ac:dyDescent="0.3">
      <c r="C372" s="49" t="e">
        <f>VLOOKUP(B372,DAY!$C$2:$D$7,2,FALSE)</f>
        <v>#N/A</v>
      </c>
      <c r="D372" s="17"/>
      <c r="G372"/>
      <c r="H372"/>
      <c r="I372" s="52">
        <f t="shared" si="108"/>
        <v>1</v>
      </c>
      <c r="K372" s="52" t="str">
        <f t="shared" si="109"/>
        <v xml:space="preserve">-  </v>
      </c>
      <c r="L372" s="52" t="str">
        <f t="shared" si="110"/>
        <v xml:space="preserve"> --</v>
      </c>
      <c r="M372" s="52" t="str">
        <f t="shared" si="111"/>
        <v>- -</v>
      </c>
      <c r="N372" s="19"/>
      <c r="O372" s="52" t="e">
        <f t="shared" si="106"/>
        <v>#N/A</v>
      </c>
      <c r="P372" s="52" t="e">
        <f t="shared" si="107"/>
        <v>#N/A</v>
      </c>
    </row>
    <row r="373" spans="3:16" ht="14.4" x14ac:dyDescent="0.3">
      <c r="C373" s="49" t="e">
        <f>VLOOKUP(B373,DAY!$C$2:$D$7,2,FALSE)</f>
        <v>#N/A</v>
      </c>
      <c r="D373" s="17"/>
      <c r="G373"/>
      <c r="H373"/>
      <c r="I373" s="52">
        <f t="shared" si="108"/>
        <v>1</v>
      </c>
      <c r="K373" s="52" t="str">
        <f t="shared" si="109"/>
        <v xml:space="preserve">-  </v>
      </c>
      <c r="L373" s="52" t="str">
        <f t="shared" si="110"/>
        <v xml:space="preserve"> --</v>
      </c>
      <c r="M373" s="52" t="str">
        <f t="shared" si="111"/>
        <v>- -</v>
      </c>
      <c r="N373" s="19"/>
      <c r="O373" s="52" t="e">
        <f t="shared" si="106"/>
        <v>#N/A</v>
      </c>
      <c r="P373" s="52" t="e">
        <f t="shared" si="107"/>
        <v>#N/A</v>
      </c>
    </row>
    <row r="374" spans="3:16" ht="14.4" x14ac:dyDescent="0.3">
      <c r="C374" s="49" t="e">
        <f>VLOOKUP(B374,DAY!$C$2:$D$7,2,FALSE)</f>
        <v>#N/A</v>
      </c>
      <c r="D374" s="17"/>
      <c r="G374"/>
      <c r="H374"/>
      <c r="I374" s="52">
        <f t="shared" si="108"/>
        <v>1</v>
      </c>
      <c r="K374" s="52" t="str">
        <f t="shared" si="109"/>
        <v xml:space="preserve">-  </v>
      </c>
      <c r="L374" s="52" t="str">
        <f t="shared" si="110"/>
        <v xml:space="preserve"> --</v>
      </c>
      <c r="M374" s="52" t="str">
        <f t="shared" si="111"/>
        <v>- -</v>
      </c>
      <c r="N374" s="19"/>
      <c r="O374" s="52" t="e">
        <f t="shared" si="106"/>
        <v>#N/A</v>
      </c>
      <c r="P374" s="52" t="e">
        <f t="shared" si="107"/>
        <v>#N/A</v>
      </c>
    </row>
    <row r="375" spans="3:16" ht="14.4" x14ac:dyDescent="0.3">
      <c r="C375" s="49" t="e">
        <f>VLOOKUP(B375,DAY!$C$2:$D$7,2,FALSE)</f>
        <v>#N/A</v>
      </c>
      <c r="D375" s="17"/>
      <c r="G375"/>
      <c r="H375"/>
      <c r="I375" s="52">
        <f t="shared" si="108"/>
        <v>1</v>
      </c>
      <c r="K375" s="52" t="str">
        <f t="shared" si="109"/>
        <v xml:space="preserve">-  </v>
      </c>
      <c r="L375" s="52" t="str">
        <f t="shared" si="110"/>
        <v xml:space="preserve"> --</v>
      </c>
      <c r="M375" s="52" t="str">
        <f t="shared" si="111"/>
        <v>- -</v>
      </c>
      <c r="N375" s="19"/>
      <c r="O375" s="52" t="e">
        <f t="shared" si="106"/>
        <v>#N/A</v>
      </c>
      <c r="P375" s="52" t="e">
        <f t="shared" si="107"/>
        <v>#N/A</v>
      </c>
    </row>
    <row r="376" spans="3:16" ht="14.4" x14ac:dyDescent="0.3">
      <c r="C376" s="49" t="e">
        <f>VLOOKUP(B376,DAY!$C$2:$D$7,2,FALSE)</f>
        <v>#N/A</v>
      </c>
      <c r="D376" s="17"/>
      <c r="G376"/>
      <c r="H376"/>
      <c r="I376" s="52">
        <f t="shared" si="108"/>
        <v>1</v>
      </c>
      <c r="K376" s="52" t="str">
        <f t="shared" si="109"/>
        <v xml:space="preserve">-  </v>
      </c>
      <c r="L376" s="52" t="str">
        <f t="shared" si="110"/>
        <v xml:space="preserve"> --</v>
      </c>
      <c r="M376" s="52" t="str">
        <f t="shared" si="111"/>
        <v>- -</v>
      </c>
      <c r="N376" s="19"/>
      <c r="O376" s="52" t="e">
        <f t="shared" si="106"/>
        <v>#N/A</v>
      </c>
      <c r="P376" s="52" t="e">
        <f t="shared" si="107"/>
        <v>#N/A</v>
      </c>
    </row>
    <row r="377" spans="3:16" ht="14.4" x14ac:dyDescent="0.3">
      <c r="C377" s="49" t="e">
        <f>VLOOKUP(B377,DAY!$C$2:$D$7,2,FALSE)</f>
        <v>#N/A</v>
      </c>
      <c r="D377" s="17"/>
      <c r="G377"/>
      <c r="H377"/>
      <c r="I377" s="52">
        <f t="shared" si="108"/>
        <v>1</v>
      </c>
      <c r="K377" s="52" t="str">
        <f t="shared" si="109"/>
        <v xml:space="preserve">-  </v>
      </c>
      <c r="L377" s="52" t="str">
        <f t="shared" si="110"/>
        <v xml:space="preserve"> --</v>
      </c>
      <c r="M377" s="52" t="str">
        <f t="shared" si="111"/>
        <v>- -</v>
      </c>
      <c r="N377" s="19"/>
      <c r="O377" s="52" t="e">
        <f t="shared" si="106"/>
        <v>#N/A</v>
      </c>
      <c r="P377" s="52" t="e">
        <f t="shared" si="107"/>
        <v>#N/A</v>
      </c>
    </row>
    <row r="378" spans="3:16" ht="14.4" x14ac:dyDescent="0.3">
      <c r="C378" s="49" t="e">
        <f>VLOOKUP(B378,DAY!$C$2:$D$7,2,FALSE)</f>
        <v>#N/A</v>
      </c>
      <c r="D378" s="17"/>
      <c r="G378"/>
      <c r="H378"/>
      <c r="I378" s="52">
        <f t="shared" si="108"/>
        <v>1</v>
      </c>
      <c r="K378" s="52" t="str">
        <f t="shared" si="109"/>
        <v xml:space="preserve">-  </v>
      </c>
      <c r="L378" s="52" t="str">
        <f t="shared" si="110"/>
        <v xml:space="preserve"> --</v>
      </c>
      <c r="M378" s="52" t="str">
        <f t="shared" si="111"/>
        <v>- -</v>
      </c>
      <c r="N378" s="19"/>
      <c r="O378" s="52" t="e">
        <f t="shared" si="106"/>
        <v>#N/A</v>
      </c>
      <c r="P378" s="52" t="e">
        <f t="shared" si="107"/>
        <v>#N/A</v>
      </c>
    </row>
    <row r="379" spans="3:16" ht="14.4" x14ac:dyDescent="0.3">
      <c r="C379" s="49" t="e">
        <f>VLOOKUP(B379,DAY!$C$2:$D$7,2,FALSE)</f>
        <v>#N/A</v>
      </c>
      <c r="D379" s="17"/>
      <c r="G379"/>
      <c r="H379"/>
      <c r="I379" s="52">
        <f t="shared" si="108"/>
        <v>1</v>
      </c>
      <c r="K379" s="52" t="str">
        <f t="shared" si="109"/>
        <v xml:space="preserve">-  </v>
      </c>
      <c r="L379" s="52" t="str">
        <f t="shared" si="110"/>
        <v xml:space="preserve"> --</v>
      </c>
      <c r="M379" s="52" t="str">
        <f t="shared" si="111"/>
        <v>- -</v>
      </c>
      <c r="N379" s="19"/>
      <c r="O379" s="52" t="e">
        <f t="shared" si="106"/>
        <v>#N/A</v>
      </c>
      <c r="P379" s="52" t="e">
        <f t="shared" si="107"/>
        <v>#N/A</v>
      </c>
    </row>
    <row r="380" spans="3:16" ht="14.4" x14ac:dyDescent="0.3">
      <c r="C380" s="49" t="e">
        <f>VLOOKUP(B380,DAY!$C$2:$D$7,2,FALSE)</f>
        <v>#N/A</v>
      </c>
      <c r="D380" s="17"/>
      <c r="G380"/>
      <c r="H380"/>
      <c r="I380" s="52">
        <f t="shared" si="108"/>
        <v>1</v>
      </c>
      <c r="K380" s="52" t="str">
        <f t="shared" si="109"/>
        <v xml:space="preserve">-  </v>
      </c>
      <c r="L380" s="52" t="str">
        <f t="shared" si="110"/>
        <v xml:space="preserve"> --</v>
      </c>
      <c r="M380" s="52" t="str">
        <f t="shared" si="111"/>
        <v>- -</v>
      </c>
      <c r="N380" s="19"/>
      <c r="O380" s="52" t="e">
        <f t="shared" si="106"/>
        <v>#N/A</v>
      </c>
      <c r="P380" s="52" t="e">
        <f t="shared" si="107"/>
        <v>#N/A</v>
      </c>
    </row>
    <row r="381" spans="3:16" ht="14.4" x14ac:dyDescent="0.3">
      <c r="C381" s="49" t="e">
        <f>VLOOKUP(B381,DAY!$C$2:$D$7,2,FALSE)</f>
        <v>#N/A</v>
      </c>
      <c r="D381" s="17"/>
      <c r="G381"/>
      <c r="H381"/>
      <c r="I381" s="52">
        <f t="shared" si="108"/>
        <v>1</v>
      </c>
      <c r="K381" s="52" t="str">
        <f t="shared" si="109"/>
        <v xml:space="preserve">-  </v>
      </c>
      <c r="L381" s="52" t="str">
        <f t="shared" si="110"/>
        <v xml:space="preserve"> --</v>
      </c>
      <c r="M381" s="52" t="str">
        <f t="shared" si="111"/>
        <v>- -</v>
      </c>
      <c r="N381" s="19"/>
      <c r="O381" s="52" t="e">
        <f t="shared" si="106"/>
        <v>#N/A</v>
      </c>
      <c r="P381" s="52" t="e">
        <f t="shared" si="107"/>
        <v>#N/A</v>
      </c>
    </row>
    <row r="382" spans="3:16" ht="14.4" x14ac:dyDescent="0.3">
      <c r="C382" s="49" t="e">
        <f>VLOOKUP(B382,DAY!$C$2:$D$7,2,FALSE)</f>
        <v>#N/A</v>
      </c>
      <c r="D382" s="17"/>
      <c r="G382"/>
      <c r="H382"/>
      <c r="I382" s="52">
        <f t="shared" si="108"/>
        <v>1</v>
      </c>
      <c r="K382" s="52" t="str">
        <f t="shared" si="109"/>
        <v xml:space="preserve">-  </v>
      </c>
      <c r="L382" s="52" t="str">
        <f t="shared" si="110"/>
        <v xml:space="preserve"> --</v>
      </c>
      <c r="M382" s="52" t="str">
        <f t="shared" si="111"/>
        <v>- -</v>
      </c>
      <c r="N382" s="19"/>
      <c r="O382" s="52" t="e">
        <f t="shared" si="106"/>
        <v>#N/A</v>
      </c>
      <c r="P382" s="52" t="e">
        <f t="shared" si="107"/>
        <v>#N/A</v>
      </c>
    </row>
    <row r="383" spans="3:16" ht="14.4" x14ac:dyDescent="0.3">
      <c r="C383" s="49" t="e">
        <f>VLOOKUP(B383,DAY!$C$2:$D$7,2,FALSE)</f>
        <v>#N/A</v>
      </c>
      <c r="D383" s="17"/>
      <c r="G383"/>
      <c r="H383"/>
      <c r="I383" s="52">
        <f t="shared" si="108"/>
        <v>1</v>
      </c>
      <c r="K383" s="52" t="str">
        <f t="shared" si="109"/>
        <v xml:space="preserve">-  </v>
      </c>
      <c r="L383" s="52" t="str">
        <f t="shared" si="110"/>
        <v xml:space="preserve"> --</v>
      </c>
      <c r="M383" s="52" t="str">
        <f t="shared" si="111"/>
        <v>- -</v>
      </c>
      <c r="N383" s="19"/>
      <c r="O383" s="52" t="e">
        <f t="shared" si="106"/>
        <v>#N/A</v>
      </c>
      <c r="P383" s="52" t="e">
        <f t="shared" si="107"/>
        <v>#N/A</v>
      </c>
    </row>
    <row r="384" spans="3:16" ht="14.4" x14ac:dyDescent="0.3">
      <c r="C384" s="49" t="e">
        <f>VLOOKUP(B384,DAY!$C$2:$D$7,2,FALSE)</f>
        <v>#N/A</v>
      </c>
      <c r="D384" s="17"/>
      <c r="G384"/>
      <c r="H384"/>
      <c r="I384" s="52">
        <f t="shared" si="108"/>
        <v>1</v>
      </c>
      <c r="K384" s="52" t="str">
        <f t="shared" si="109"/>
        <v xml:space="preserve">-  </v>
      </c>
      <c r="L384" s="52" t="str">
        <f t="shared" si="110"/>
        <v xml:space="preserve"> --</v>
      </c>
      <c r="M384" s="52" t="str">
        <f t="shared" si="111"/>
        <v>- -</v>
      </c>
      <c r="N384" s="19"/>
      <c r="O384" s="52" t="e">
        <f t="shared" si="106"/>
        <v>#N/A</v>
      </c>
      <c r="P384" s="52" t="e">
        <f t="shared" si="107"/>
        <v>#N/A</v>
      </c>
    </row>
    <row r="385" spans="3:16" ht="14.4" x14ac:dyDescent="0.3">
      <c r="C385" s="49" t="e">
        <f>VLOOKUP(B385,DAY!$C$2:$D$7,2,FALSE)</f>
        <v>#N/A</v>
      </c>
      <c r="D385" s="17"/>
      <c r="G385"/>
      <c r="H385"/>
      <c r="I385" s="52">
        <f t="shared" si="108"/>
        <v>1</v>
      </c>
      <c r="K385" s="52" t="str">
        <f t="shared" si="109"/>
        <v xml:space="preserve">-  </v>
      </c>
      <c r="L385" s="52" t="str">
        <f t="shared" si="110"/>
        <v xml:space="preserve"> --</v>
      </c>
      <c r="M385" s="52" t="str">
        <f t="shared" si="111"/>
        <v>- -</v>
      </c>
      <c r="N385" s="19"/>
      <c r="O385" s="52" t="e">
        <f t="shared" si="106"/>
        <v>#N/A</v>
      </c>
      <c r="P385" s="52" t="e">
        <f t="shared" si="107"/>
        <v>#N/A</v>
      </c>
    </row>
    <row r="386" spans="3:16" ht="14.4" x14ac:dyDescent="0.3">
      <c r="C386" s="49" t="e">
        <f>VLOOKUP(B386,DAY!$C$2:$D$7,2,FALSE)</f>
        <v>#N/A</v>
      </c>
      <c r="D386" s="17"/>
      <c r="G386"/>
      <c r="H386"/>
      <c r="I386" s="52">
        <f t="shared" si="108"/>
        <v>1</v>
      </c>
      <c r="K386" s="52" t="str">
        <f t="shared" si="109"/>
        <v xml:space="preserve">-  </v>
      </c>
      <c r="L386" s="52" t="str">
        <f t="shared" si="110"/>
        <v xml:space="preserve"> --</v>
      </c>
      <c r="M386" s="52" t="str">
        <f t="shared" si="111"/>
        <v>- -</v>
      </c>
      <c r="N386" s="19"/>
      <c r="O386" s="52" t="e">
        <f t="shared" si="106"/>
        <v>#N/A</v>
      </c>
      <c r="P386" s="52" t="e">
        <f t="shared" si="107"/>
        <v>#N/A</v>
      </c>
    </row>
    <row r="387" spans="3:16" ht="14.4" x14ac:dyDescent="0.3">
      <c r="C387" s="49" t="e">
        <f>VLOOKUP(B387,DAY!$C$2:$D$7,2,FALSE)</f>
        <v>#N/A</v>
      </c>
      <c r="D387" s="17"/>
      <c r="G387"/>
      <c r="H387"/>
      <c r="I387" s="52">
        <f t="shared" si="108"/>
        <v>1</v>
      </c>
      <c r="K387" s="52" t="str">
        <f t="shared" si="109"/>
        <v xml:space="preserve">-  </v>
      </c>
      <c r="L387" s="52" t="str">
        <f t="shared" si="110"/>
        <v xml:space="preserve"> --</v>
      </c>
      <c r="M387" s="52" t="str">
        <f t="shared" si="111"/>
        <v>- -</v>
      </c>
      <c r="N387" s="19"/>
      <c r="O387" s="52" t="e">
        <f t="shared" si="106"/>
        <v>#N/A</v>
      </c>
      <c r="P387" s="52" t="e">
        <f t="shared" si="107"/>
        <v>#N/A</v>
      </c>
    </row>
    <row r="388" spans="3:16" ht="14.4" x14ac:dyDescent="0.3">
      <c r="C388" s="49" t="e">
        <f>VLOOKUP(B388,DAY!$C$2:$D$7,2,FALSE)</f>
        <v>#N/A</v>
      </c>
      <c r="D388" s="17"/>
      <c r="G388"/>
      <c r="H388"/>
      <c r="I388" s="52">
        <f t="shared" si="108"/>
        <v>1</v>
      </c>
      <c r="K388" s="52" t="str">
        <f t="shared" si="109"/>
        <v xml:space="preserve">-  </v>
      </c>
      <c r="L388" s="52" t="str">
        <f t="shared" si="110"/>
        <v xml:space="preserve"> --</v>
      </c>
      <c r="M388" s="52" t="str">
        <f t="shared" si="111"/>
        <v>- -</v>
      </c>
      <c r="N388" s="19"/>
      <c r="O388" s="52" t="e">
        <f t="shared" si="106"/>
        <v>#N/A</v>
      </c>
      <c r="P388" s="52" t="e">
        <f t="shared" si="107"/>
        <v>#N/A</v>
      </c>
    </row>
    <row r="389" spans="3:16" ht="14.4" x14ac:dyDescent="0.3">
      <c r="C389" s="49" t="e">
        <f>VLOOKUP(B389,DAY!$C$2:$D$7,2,FALSE)</f>
        <v>#N/A</v>
      </c>
      <c r="D389" s="17"/>
      <c r="G389"/>
      <c r="H389"/>
      <c r="I389" s="52">
        <f t="shared" si="108"/>
        <v>1</v>
      </c>
      <c r="K389" s="52" t="str">
        <f t="shared" si="109"/>
        <v xml:space="preserve">-  </v>
      </c>
      <c r="L389" s="52" t="str">
        <f t="shared" si="110"/>
        <v xml:space="preserve"> --</v>
      </c>
      <c r="M389" s="52" t="str">
        <f t="shared" si="111"/>
        <v>- -</v>
      </c>
      <c r="N389" s="19"/>
      <c r="O389" s="52" t="e">
        <f t="shared" si="106"/>
        <v>#N/A</v>
      </c>
      <c r="P389" s="52" t="e">
        <f t="shared" si="107"/>
        <v>#N/A</v>
      </c>
    </row>
    <row r="390" spans="3:16" ht="14.4" x14ac:dyDescent="0.3">
      <c r="C390" s="49" t="e">
        <f>VLOOKUP(B390,DAY!$C$2:$D$7,2,FALSE)</f>
        <v>#N/A</v>
      </c>
      <c r="D390" s="17"/>
      <c r="G390"/>
      <c r="H390"/>
      <c r="I390" s="52">
        <f t="shared" si="108"/>
        <v>1</v>
      </c>
      <c r="K390" s="52" t="str">
        <f t="shared" si="109"/>
        <v xml:space="preserve">-  </v>
      </c>
      <c r="L390" s="52" t="str">
        <f t="shared" si="110"/>
        <v xml:space="preserve"> --</v>
      </c>
      <c r="M390" s="52" t="str">
        <f t="shared" si="111"/>
        <v>- -</v>
      </c>
      <c r="N390" s="19"/>
      <c r="O390" s="52" t="e">
        <f t="shared" si="106"/>
        <v>#N/A</v>
      </c>
      <c r="P390" s="52" t="e">
        <f t="shared" si="107"/>
        <v>#N/A</v>
      </c>
    </row>
    <row r="391" spans="3:16" ht="14.4" x14ac:dyDescent="0.3">
      <c r="C391" s="49" t="e">
        <f>VLOOKUP(B391,DAY!$C$2:$D$7,2,FALSE)</f>
        <v>#N/A</v>
      </c>
      <c r="D391" s="17"/>
      <c r="G391"/>
      <c r="H391"/>
      <c r="I391" s="52">
        <f t="shared" si="108"/>
        <v>1</v>
      </c>
      <c r="K391" s="52" t="str">
        <f t="shared" si="109"/>
        <v xml:space="preserve">-  </v>
      </c>
      <c r="L391" s="52" t="str">
        <f t="shared" si="110"/>
        <v xml:space="preserve"> --</v>
      </c>
      <c r="M391" s="52" t="str">
        <f t="shared" si="111"/>
        <v>- -</v>
      </c>
      <c r="N391" s="19"/>
      <c r="O391" s="52" t="e">
        <f t="shared" si="106"/>
        <v>#N/A</v>
      </c>
      <c r="P391" s="52" t="e">
        <f t="shared" si="107"/>
        <v>#N/A</v>
      </c>
    </row>
    <row r="392" spans="3:16" ht="14.4" x14ac:dyDescent="0.3">
      <c r="C392" s="49" t="e">
        <f>VLOOKUP(B392,DAY!$C$2:$D$7,2,FALSE)</f>
        <v>#N/A</v>
      </c>
      <c r="D392" s="17"/>
      <c r="G392"/>
      <c r="H392"/>
      <c r="I392" s="52">
        <f t="shared" si="108"/>
        <v>1</v>
      </c>
      <c r="K392" s="52" t="str">
        <f t="shared" si="109"/>
        <v xml:space="preserve">-  </v>
      </c>
      <c r="L392" s="52" t="str">
        <f t="shared" si="110"/>
        <v xml:space="preserve"> --</v>
      </c>
      <c r="M392" s="52" t="str">
        <f t="shared" si="111"/>
        <v>- -</v>
      </c>
      <c r="N392" s="19"/>
      <c r="O392" s="52" t="e">
        <f t="shared" si="106"/>
        <v>#N/A</v>
      </c>
      <c r="P392" s="52" t="e">
        <f t="shared" si="107"/>
        <v>#N/A</v>
      </c>
    </row>
    <row r="393" spans="3:16" ht="14.4" x14ac:dyDescent="0.3">
      <c r="C393" s="49" t="e">
        <f>VLOOKUP(B393,DAY!$C$2:$D$7,2,FALSE)</f>
        <v>#N/A</v>
      </c>
      <c r="D393" s="17"/>
      <c r="G393"/>
      <c r="H393"/>
      <c r="I393" s="52">
        <f t="shared" si="108"/>
        <v>1</v>
      </c>
      <c r="K393" s="52" t="str">
        <f t="shared" si="109"/>
        <v xml:space="preserve">-  </v>
      </c>
      <c r="L393" s="52" t="str">
        <f t="shared" si="110"/>
        <v xml:space="preserve"> --</v>
      </c>
      <c r="M393" s="52" t="str">
        <f t="shared" si="111"/>
        <v>- -</v>
      </c>
      <c r="N393" s="19"/>
      <c r="O393" s="52" t="e">
        <f t="shared" ref="O393:O439" si="138">C393&amp;D393&amp;F393</f>
        <v>#N/A</v>
      </c>
      <c r="P393" s="52" t="e">
        <f t="shared" ref="P393:P439" si="139">C393&amp;D393&amp;G393</f>
        <v>#N/A</v>
      </c>
    </row>
    <row r="394" spans="3:16" ht="14.4" x14ac:dyDescent="0.3">
      <c r="C394" s="49" t="e">
        <f>VLOOKUP(B394,DAY!$C$2:$D$7,2,FALSE)</f>
        <v>#N/A</v>
      </c>
      <c r="D394" s="17"/>
      <c r="G394"/>
      <c r="H394"/>
      <c r="I394" s="52">
        <f t="shared" si="108"/>
        <v>1</v>
      </c>
      <c r="K394" s="52" t="str">
        <f t="shared" si="109"/>
        <v xml:space="preserve">-  </v>
      </c>
      <c r="L394" s="52" t="str">
        <f t="shared" si="110"/>
        <v xml:space="preserve"> --</v>
      </c>
      <c r="M394" s="52" t="str">
        <f t="shared" si="111"/>
        <v>- -</v>
      </c>
      <c r="N394" s="19"/>
      <c r="O394" s="52" t="e">
        <f t="shared" si="138"/>
        <v>#N/A</v>
      </c>
      <c r="P394" s="52" t="e">
        <f t="shared" si="139"/>
        <v>#N/A</v>
      </c>
    </row>
    <row r="395" spans="3:16" ht="14.4" x14ac:dyDescent="0.3">
      <c r="C395" s="49" t="e">
        <f>VLOOKUP(B395,DAY!$C$2:$D$7,2,FALSE)</f>
        <v>#N/A</v>
      </c>
      <c r="D395" s="17"/>
      <c r="G395"/>
      <c r="H395"/>
      <c r="I395" s="52">
        <f t="shared" si="108"/>
        <v>1</v>
      </c>
      <c r="K395" s="52" t="str">
        <f t="shared" si="109"/>
        <v xml:space="preserve">-  </v>
      </c>
      <c r="L395" s="52" t="str">
        <f t="shared" si="110"/>
        <v xml:space="preserve"> --</v>
      </c>
      <c r="M395" s="52" t="str">
        <f t="shared" si="111"/>
        <v>- -</v>
      </c>
      <c r="N395" s="19"/>
      <c r="O395" s="52" t="e">
        <f t="shared" si="138"/>
        <v>#N/A</v>
      </c>
      <c r="P395" s="52" t="e">
        <f t="shared" si="139"/>
        <v>#N/A</v>
      </c>
    </row>
    <row r="396" spans="3:16" ht="14.4" x14ac:dyDescent="0.3">
      <c r="C396" s="49" t="e">
        <f>VLOOKUP(B396,DAY!$C$2:$D$7,2,FALSE)</f>
        <v>#N/A</v>
      </c>
      <c r="D396" s="17"/>
      <c r="G396"/>
      <c r="H396"/>
      <c r="I396" s="52">
        <f t="shared" si="108"/>
        <v>1</v>
      </c>
      <c r="K396" s="52" t="str">
        <f t="shared" si="109"/>
        <v xml:space="preserve">-  </v>
      </c>
      <c r="L396" s="52" t="str">
        <f t="shared" si="110"/>
        <v xml:space="preserve"> --</v>
      </c>
      <c r="M396" s="52" t="str">
        <f t="shared" si="111"/>
        <v>- -</v>
      </c>
      <c r="N396" s="19"/>
      <c r="O396" s="52" t="e">
        <f t="shared" si="138"/>
        <v>#N/A</v>
      </c>
      <c r="P396" s="52" t="e">
        <f t="shared" si="139"/>
        <v>#N/A</v>
      </c>
    </row>
    <row r="397" spans="3:16" ht="14.4" x14ac:dyDescent="0.3">
      <c r="C397" s="49" t="e">
        <f>VLOOKUP(B397,DAY!$C$2:$D$7,2,FALSE)</f>
        <v>#N/A</v>
      </c>
      <c r="D397" s="17"/>
      <c r="G397"/>
      <c r="H397"/>
      <c r="I397" s="52">
        <f t="shared" si="108"/>
        <v>1</v>
      </c>
      <c r="K397" s="52" t="str">
        <f t="shared" si="109"/>
        <v xml:space="preserve">-  </v>
      </c>
      <c r="L397" s="52" t="str">
        <f t="shared" si="110"/>
        <v xml:space="preserve"> --</v>
      </c>
      <c r="M397" s="52" t="str">
        <f t="shared" si="111"/>
        <v>- -</v>
      </c>
      <c r="N397" s="19"/>
      <c r="O397" s="52" t="e">
        <f t="shared" si="138"/>
        <v>#N/A</v>
      </c>
      <c r="P397" s="52" t="e">
        <f t="shared" si="139"/>
        <v>#N/A</v>
      </c>
    </row>
    <row r="398" spans="3:16" ht="14.4" x14ac:dyDescent="0.3">
      <c r="C398" s="49" t="e">
        <f>VLOOKUP(B398,DAY!$C$2:$D$7,2,FALSE)</f>
        <v>#N/A</v>
      </c>
      <c r="D398" s="17"/>
      <c r="G398"/>
      <c r="H398"/>
      <c r="I398" s="52">
        <f t="shared" ref="I398:I439" si="140">IF(H398="",1,2)</f>
        <v>1</v>
      </c>
      <c r="K398" s="52" t="str">
        <f t="shared" ref="K398:K439" si="141">E398&amp;"-"&amp;A398&amp;" "&amp;H398&amp;" "&amp;G398</f>
        <v xml:space="preserve">-  </v>
      </c>
      <c r="L398" s="52" t="str">
        <f t="shared" ref="L398:L439" si="142">H398&amp;" "&amp;E398&amp;"-"&amp;F398&amp;"-"&amp;G398</f>
        <v xml:space="preserve"> --</v>
      </c>
      <c r="M398" s="52" t="str">
        <f t="shared" ref="M398:M439" si="143">A398&amp;"-"&amp;H398&amp;" "&amp;E398&amp;"-"&amp;F398</f>
        <v>- -</v>
      </c>
      <c r="N398" s="19"/>
      <c r="O398" s="52" t="e">
        <f t="shared" si="138"/>
        <v>#N/A</v>
      </c>
      <c r="P398" s="52" t="e">
        <f t="shared" si="139"/>
        <v>#N/A</v>
      </c>
    </row>
    <row r="399" spans="3:16" ht="14.4" x14ac:dyDescent="0.3">
      <c r="C399" s="49" t="e">
        <f>VLOOKUP(B399,DAY!$C$2:$D$7,2,FALSE)</f>
        <v>#N/A</v>
      </c>
      <c r="D399" s="17"/>
      <c r="G399"/>
      <c r="H399"/>
      <c r="I399" s="52">
        <f t="shared" si="140"/>
        <v>1</v>
      </c>
      <c r="K399" s="52" t="str">
        <f t="shared" si="141"/>
        <v xml:space="preserve">-  </v>
      </c>
      <c r="L399" s="52" t="str">
        <f t="shared" si="142"/>
        <v xml:space="preserve"> --</v>
      </c>
      <c r="M399" s="52" t="str">
        <f t="shared" si="143"/>
        <v>- -</v>
      </c>
      <c r="N399" s="19"/>
      <c r="O399" s="52" t="e">
        <f t="shared" si="138"/>
        <v>#N/A</v>
      </c>
      <c r="P399" s="52" t="e">
        <f t="shared" si="139"/>
        <v>#N/A</v>
      </c>
    </row>
    <row r="400" spans="3:16" ht="14.4" x14ac:dyDescent="0.3">
      <c r="C400" s="49" t="e">
        <f>VLOOKUP(B400,DAY!$C$2:$D$7,2,FALSE)</f>
        <v>#N/A</v>
      </c>
      <c r="D400" s="17"/>
      <c r="G400"/>
      <c r="H400"/>
      <c r="I400" s="52">
        <f t="shared" si="140"/>
        <v>1</v>
      </c>
      <c r="K400" s="52" t="str">
        <f t="shared" si="141"/>
        <v xml:space="preserve">-  </v>
      </c>
      <c r="L400" s="52" t="str">
        <f t="shared" si="142"/>
        <v xml:space="preserve"> --</v>
      </c>
      <c r="M400" s="52" t="str">
        <f t="shared" si="143"/>
        <v>- -</v>
      </c>
      <c r="N400" s="19"/>
      <c r="O400" s="52" t="e">
        <f t="shared" si="138"/>
        <v>#N/A</v>
      </c>
      <c r="P400" s="52" t="e">
        <f t="shared" si="139"/>
        <v>#N/A</v>
      </c>
    </row>
    <row r="401" spans="3:16" ht="14.4" x14ac:dyDescent="0.3">
      <c r="C401" s="49" t="e">
        <f>VLOOKUP(B401,DAY!$C$2:$D$7,2,FALSE)</f>
        <v>#N/A</v>
      </c>
      <c r="D401" s="17"/>
      <c r="G401"/>
      <c r="H401"/>
      <c r="I401" s="52">
        <f t="shared" si="140"/>
        <v>1</v>
      </c>
      <c r="K401" s="52" t="str">
        <f t="shared" si="141"/>
        <v xml:space="preserve">-  </v>
      </c>
      <c r="L401" s="52" t="str">
        <f t="shared" si="142"/>
        <v xml:space="preserve"> --</v>
      </c>
      <c r="M401" s="52" t="str">
        <f t="shared" si="143"/>
        <v>- -</v>
      </c>
      <c r="N401" s="19"/>
      <c r="O401" s="52" t="e">
        <f t="shared" si="138"/>
        <v>#N/A</v>
      </c>
      <c r="P401" s="52" t="e">
        <f t="shared" si="139"/>
        <v>#N/A</v>
      </c>
    </row>
    <row r="402" spans="3:16" ht="14.4" x14ac:dyDescent="0.3">
      <c r="C402" s="49" t="e">
        <f>VLOOKUP(B402,DAY!$C$2:$D$7,2,FALSE)</f>
        <v>#N/A</v>
      </c>
      <c r="D402" s="17"/>
      <c r="G402"/>
      <c r="H402"/>
      <c r="I402" s="52">
        <f t="shared" si="140"/>
        <v>1</v>
      </c>
      <c r="K402" s="52" t="str">
        <f t="shared" si="141"/>
        <v xml:space="preserve">-  </v>
      </c>
      <c r="L402" s="52" t="str">
        <f t="shared" si="142"/>
        <v xml:space="preserve"> --</v>
      </c>
      <c r="M402" s="52" t="str">
        <f t="shared" si="143"/>
        <v>- -</v>
      </c>
      <c r="N402" s="19"/>
      <c r="O402" s="52" t="e">
        <f t="shared" si="138"/>
        <v>#N/A</v>
      </c>
      <c r="P402" s="52" t="e">
        <f t="shared" si="139"/>
        <v>#N/A</v>
      </c>
    </row>
    <row r="403" spans="3:16" ht="14.4" x14ac:dyDescent="0.3">
      <c r="C403" s="49" t="e">
        <f>VLOOKUP(B403,DAY!$C$2:$D$7,2,FALSE)</f>
        <v>#N/A</v>
      </c>
      <c r="D403" s="17"/>
      <c r="G403"/>
      <c r="H403"/>
      <c r="I403" s="52">
        <f t="shared" si="140"/>
        <v>1</v>
      </c>
      <c r="K403" s="52" t="str">
        <f t="shared" si="141"/>
        <v xml:space="preserve">-  </v>
      </c>
      <c r="L403" s="52" t="str">
        <f t="shared" si="142"/>
        <v xml:space="preserve"> --</v>
      </c>
      <c r="M403" s="52" t="str">
        <f t="shared" si="143"/>
        <v>- -</v>
      </c>
      <c r="N403" s="19"/>
      <c r="O403" s="52" t="e">
        <f t="shared" si="138"/>
        <v>#N/A</v>
      </c>
      <c r="P403" s="52" t="e">
        <f t="shared" si="139"/>
        <v>#N/A</v>
      </c>
    </row>
    <row r="404" spans="3:16" ht="14.4" x14ac:dyDescent="0.3">
      <c r="C404" s="49" t="e">
        <f>VLOOKUP(B404,DAY!$C$2:$D$7,2,FALSE)</f>
        <v>#N/A</v>
      </c>
      <c r="D404" s="17"/>
      <c r="G404"/>
      <c r="H404"/>
      <c r="I404" s="52">
        <f t="shared" si="140"/>
        <v>1</v>
      </c>
      <c r="K404" s="52" t="str">
        <f t="shared" si="141"/>
        <v xml:space="preserve">-  </v>
      </c>
      <c r="L404" s="52" t="str">
        <f t="shared" si="142"/>
        <v xml:space="preserve"> --</v>
      </c>
      <c r="M404" s="52" t="str">
        <f t="shared" si="143"/>
        <v>- -</v>
      </c>
      <c r="N404" s="19"/>
      <c r="O404" s="52" t="e">
        <f t="shared" si="138"/>
        <v>#N/A</v>
      </c>
      <c r="P404" s="52" t="e">
        <f t="shared" si="139"/>
        <v>#N/A</v>
      </c>
    </row>
    <row r="405" spans="3:16" ht="14.4" x14ac:dyDescent="0.3">
      <c r="C405" s="49" t="e">
        <f>VLOOKUP(B405,DAY!$C$2:$D$7,2,FALSE)</f>
        <v>#N/A</v>
      </c>
      <c r="D405" s="17"/>
      <c r="G405"/>
      <c r="H405"/>
      <c r="I405" s="52">
        <f t="shared" si="140"/>
        <v>1</v>
      </c>
      <c r="K405" s="52" t="str">
        <f t="shared" si="141"/>
        <v xml:space="preserve">-  </v>
      </c>
      <c r="L405" s="52" t="str">
        <f t="shared" si="142"/>
        <v xml:space="preserve"> --</v>
      </c>
      <c r="M405" s="52" t="str">
        <f t="shared" si="143"/>
        <v>- -</v>
      </c>
      <c r="N405" s="19"/>
      <c r="O405" s="52" t="e">
        <f t="shared" si="138"/>
        <v>#N/A</v>
      </c>
      <c r="P405" s="52" t="e">
        <f t="shared" si="139"/>
        <v>#N/A</v>
      </c>
    </row>
    <row r="406" spans="3:16" ht="14.4" x14ac:dyDescent="0.3">
      <c r="C406" s="49" t="e">
        <f>VLOOKUP(B406,DAY!$C$2:$D$7,2,FALSE)</f>
        <v>#N/A</v>
      </c>
      <c r="D406" s="17"/>
      <c r="G406"/>
      <c r="H406"/>
      <c r="I406" s="52">
        <f t="shared" si="140"/>
        <v>1</v>
      </c>
      <c r="K406" s="52" t="str">
        <f t="shared" si="141"/>
        <v xml:space="preserve">-  </v>
      </c>
      <c r="L406" s="52" t="str">
        <f t="shared" si="142"/>
        <v xml:space="preserve"> --</v>
      </c>
      <c r="M406" s="52" t="str">
        <f t="shared" si="143"/>
        <v>- -</v>
      </c>
      <c r="N406" s="19"/>
      <c r="O406" s="52" t="e">
        <f t="shared" si="138"/>
        <v>#N/A</v>
      </c>
      <c r="P406" s="52" t="e">
        <f t="shared" si="139"/>
        <v>#N/A</v>
      </c>
    </row>
    <row r="407" spans="3:16" ht="14.4" x14ac:dyDescent="0.3">
      <c r="C407" s="49" t="e">
        <f>VLOOKUP(B407,DAY!$C$2:$D$7,2,FALSE)</f>
        <v>#N/A</v>
      </c>
      <c r="D407" s="17"/>
      <c r="G407"/>
      <c r="H407"/>
      <c r="I407" s="52">
        <f t="shared" si="140"/>
        <v>1</v>
      </c>
      <c r="K407" s="52" t="str">
        <f t="shared" si="141"/>
        <v xml:space="preserve">-  </v>
      </c>
      <c r="L407" s="52" t="str">
        <f t="shared" si="142"/>
        <v xml:space="preserve"> --</v>
      </c>
      <c r="M407" s="52" t="str">
        <f t="shared" si="143"/>
        <v>- -</v>
      </c>
      <c r="N407" s="19"/>
      <c r="O407" s="52" t="e">
        <f t="shared" si="138"/>
        <v>#N/A</v>
      </c>
      <c r="P407" s="52" t="e">
        <f t="shared" si="139"/>
        <v>#N/A</v>
      </c>
    </row>
    <row r="408" spans="3:16" ht="14.4" x14ac:dyDescent="0.3">
      <c r="C408" s="49" t="e">
        <f>VLOOKUP(B408,DAY!$C$2:$D$7,2,FALSE)</f>
        <v>#N/A</v>
      </c>
      <c r="D408" s="17"/>
      <c r="G408"/>
      <c r="H408"/>
      <c r="I408" s="52">
        <f t="shared" si="140"/>
        <v>1</v>
      </c>
      <c r="K408" s="52" t="str">
        <f t="shared" si="141"/>
        <v xml:space="preserve">-  </v>
      </c>
      <c r="L408" s="52" t="str">
        <f t="shared" si="142"/>
        <v xml:space="preserve"> --</v>
      </c>
      <c r="M408" s="52" t="str">
        <f t="shared" si="143"/>
        <v>- -</v>
      </c>
      <c r="N408" s="19"/>
      <c r="O408" s="52" t="e">
        <f t="shared" si="138"/>
        <v>#N/A</v>
      </c>
      <c r="P408" s="52" t="e">
        <f t="shared" si="139"/>
        <v>#N/A</v>
      </c>
    </row>
    <row r="409" spans="3:16" ht="14.4" x14ac:dyDescent="0.3">
      <c r="C409" s="49" t="e">
        <f>VLOOKUP(B409,DAY!$C$2:$D$7,2,FALSE)</f>
        <v>#N/A</v>
      </c>
      <c r="D409" s="17"/>
      <c r="G409"/>
      <c r="H409"/>
      <c r="I409" s="52">
        <f t="shared" si="140"/>
        <v>1</v>
      </c>
      <c r="K409" s="52" t="str">
        <f t="shared" si="141"/>
        <v xml:space="preserve">-  </v>
      </c>
      <c r="L409" s="52" t="str">
        <f t="shared" si="142"/>
        <v xml:space="preserve"> --</v>
      </c>
      <c r="M409" s="52" t="str">
        <f t="shared" si="143"/>
        <v>- -</v>
      </c>
      <c r="N409" s="19"/>
      <c r="O409" s="52" t="e">
        <f t="shared" si="138"/>
        <v>#N/A</v>
      </c>
      <c r="P409" s="52" t="e">
        <f t="shared" si="139"/>
        <v>#N/A</v>
      </c>
    </row>
    <row r="410" spans="3:16" ht="14.4" x14ac:dyDescent="0.3">
      <c r="C410" s="49" t="e">
        <f>VLOOKUP(B410,DAY!$C$2:$D$7,2,FALSE)</f>
        <v>#N/A</v>
      </c>
      <c r="D410" s="17"/>
      <c r="G410"/>
      <c r="H410"/>
      <c r="I410" s="52">
        <f t="shared" si="140"/>
        <v>1</v>
      </c>
      <c r="K410" s="52" t="str">
        <f t="shared" si="141"/>
        <v xml:space="preserve">-  </v>
      </c>
      <c r="L410" s="52" t="str">
        <f t="shared" si="142"/>
        <v xml:space="preserve"> --</v>
      </c>
      <c r="M410" s="52" t="str">
        <f t="shared" si="143"/>
        <v>- -</v>
      </c>
      <c r="N410" s="19"/>
      <c r="O410" s="52" t="e">
        <f t="shared" si="138"/>
        <v>#N/A</v>
      </c>
      <c r="P410" s="52" t="e">
        <f t="shared" si="139"/>
        <v>#N/A</v>
      </c>
    </row>
    <row r="411" spans="3:16" ht="14.4" x14ac:dyDescent="0.3">
      <c r="C411" s="49" t="e">
        <f>VLOOKUP(B411,DAY!$C$2:$D$7,2,FALSE)</f>
        <v>#N/A</v>
      </c>
      <c r="D411" s="17"/>
      <c r="G411"/>
      <c r="H411"/>
      <c r="I411" s="52">
        <f t="shared" si="140"/>
        <v>1</v>
      </c>
      <c r="K411" s="52" t="str">
        <f t="shared" si="141"/>
        <v xml:space="preserve">-  </v>
      </c>
      <c r="L411" s="52" t="str">
        <f t="shared" si="142"/>
        <v xml:space="preserve"> --</v>
      </c>
      <c r="M411" s="52" t="str">
        <f t="shared" si="143"/>
        <v>- -</v>
      </c>
      <c r="N411" s="19"/>
      <c r="O411" s="52" t="e">
        <f t="shared" si="138"/>
        <v>#N/A</v>
      </c>
      <c r="P411" s="52" t="e">
        <f t="shared" si="139"/>
        <v>#N/A</v>
      </c>
    </row>
    <row r="412" spans="3:16" ht="14.4" x14ac:dyDescent="0.3">
      <c r="C412" s="49" t="e">
        <f>VLOOKUP(B412,DAY!$C$2:$D$7,2,FALSE)</f>
        <v>#N/A</v>
      </c>
      <c r="D412" s="17"/>
      <c r="G412"/>
      <c r="H412"/>
      <c r="I412" s="52">
        <f t="shared" si="140"/>
        <v>1</v>
      </c>
      <c r="K412" s="52" t="str">
        <f t="shared" si="141"/>
        <v xml:space="preserve">-  </v>
      </c>
      <c r="L412" s="52" t="str">
        <f t="shared" si="142"/>
        <v xml:space="preserve"> --</v>
      </c>
      <c r="M412" s="52" t="str">
        <f t="shared" si="143"/>
        <v>- -</v>
      </c>
      <c r="N412" s="19"/>
      <c r="O412" s="52" t="e">
        <f t="shared" si="138"/>
        <v>#N/A</v>
      </c>
      <c r="P412" s="52" t="e">
        <f t="shared" si="139"/>
        <v>#N/A</v>
      </c>
    </row>
    <row r="413" spans="3:16" ht="14.4" x14ac:dyDescent="0.3">
      <c r="C413" s="49" t="e">
        <f>VLOOKUP(B413,DAY!$C$2:$D$7,2,FALSE)</f>
        <v>#N/A</v>
      </c>
      <c r="D413" s="17"/>
      <c r="G413"/>
      <c r="H413"/>
      <c r="I413" s="52">
        <f t="shared" si="140"/>
        <v>1</v>
      </c>
      <c r="K413" s="52" t="str">
        <f t="shared" si="141"/>
        <v xml:space="preserve">-  </v>
      </c>
      <c r="L413" s="52" t="str">
        <f t="shared" si="142"/>
        <v xml:space="preserve"> --</v>
      </c>
      <c r="M413" s="52" t="str">
        <f t="shared" si="143"/>
        <v>- -</v>
      </c>
      <c r="N413" s="19"/>
      <c r="O413" s="52" t="e">
        <f t="shared" si="138"/>
        <v>#N/A</v>
      </c>
      <c r="P413" s="52" t="e">
        <f t="shared" si="139"/>
        <v>#N/A</v>
      </c>
    </row>
    <row r="414" spans="3:16" ht="14.4" x14ac:dyDescent="0.3">
      <c r="C414" s="49" t="e">
        <f>VLOOKUP(B414,DAY!$C$2:$D$7,2,FALSE)</f>
        <v>#N/A</v>
      </c>
      <c r="D414" s="17"/>
      <c r="G414"/>
      <c r="H414"/>
      <c r="I414" s="52">
        <f t="shared" si="140"/>
        <v>1</v>
      </c>
      <c r="K414" s="52" t="str">
        <f t="shared" si="141"/>
        <v xml:space="preserve">-  </v>
      </c>
      <c r="L414" s="52" t="str">
        <f t="shared" si="142"/>
        <v xml:space="preserve"> --</v>
      </c>
      <c r="M414" s="52" t="str">
        <f t="shared" si="143"/>
        <v>- -</v>
      </c>
      <c r="N414" s="19"/>
      <c r="O414" s="52" t="e">
        <f t="shared" si="138"/>
        <v>#N/A</v>
      </c>
      <c r="P414" s="52" t="e">
        <f t="shared" si="139"/>
        <v>#N/A</v>
      </c>
    </row>
    <row r="415" spans="3:16" ht="14.4" x14ac:dyDescent="0.3">
      <c r="C415" s="49" t="e">
        <f>VLOOKUP(B415,DAY!$C$2:$D$7,2,FALSE)</f>
        <v>#N/A</v>
      </c>
      <c r="D415" s="17"/>
      <c r="G415"/>
      <c r="H415"/>
      <c r="I415" s="52">
        <f t="shared" si="140"/>
        <v>1</v>
      </c>
      <c r="K415" s="52" t="str">
        <f t="shared" si="141"/>
        <v xml:space="preserve">-  </v>
      </c>
      <c r="L415" s="52" t="str">
        <f t="shared" si="142"/>
        <v xml:space="preserve"> --</v>
      </c>
      <c r="M415" s="52" t="str">
        <f t="shared" si="143"/>
        <v>- -</v>
      </c>
      <c r="N415" s="19"/>
      <c r="O415" s="52" t="e">
        <f t="shared" si="138"/>
        <v>#N/A</v>
      </c>
      <c r="P415" s="52" t="e">
        <f t="shared" si="139"/>
        <v>#N/A</v>
      </c>
    </row>
    <row r="416" spans="3:16" ht="14.4" x14ac:dyDescent="0.3">
      <c r="C416" s="49" t="e">
        <f>VLOOKUP(B416,DAY!$C$2:$D$7,2,FALSE)</f>
        <v>#N/A</v>
      </c>
      <c r="D416" s="17"/>
      <c r="G416"/>
      <c r="H416"/>
      <c r="I416" s="52">
        <f t="shared" si="140"/>
        <v>1</v>
      </c>
      <c r="K416" s="52" t="str">
        <f t="shared" si="141"/>
        <v xml:space="preserve">-  </v>
      </c>
      <c r="L416" s="52" t="str">
        <f t="shared" si="142"/>
        <v xml:space="preserve"> --</v>
      </c>
      <c r="M416" s="52" t="str">
        <f t="shared" si="143"/>
        <v>- -</v>
      </c>
      <c r="N416" s="19"/>
      <c r="O416" s="52" t="e">
        <f t="shared" si="138"/>
        <v>#N/A</v>
      </c>
      <c r="P416" s="52" t="e">
        <f t="shared" si="139"/>
        <v>#N/A</v>
      </c>
    </row>
    <row r="417" spans="3:16" ht="14.4" x14ac:dyDescent="0.3">
      <c r="C417" s="49" t="e">
        <f>VLOOKUP(B417,DAY!$C$2:$D$7,2,FALSE)</f>
        <v>#N/A</v>
      </c>
      <c r="D417" s="17"/>
      <c r="G417"/>
      <c r="H417"/>
      <c r="I417" s="52">
        <f t="shared" si="140"/>
        <v>1</v>
      </c>
      <c r="K417" s="52" t="str">
        <f t="shared" si="141"/>
        <v xml:space="preserve">-  </v>
      </c>
      <c r="L417" s="52" t="str">
        <f t="shared" si="142"/>
        <v xml:space="preserve"> --</v>
      </c>
      <c r="M417" s="52" t="str">
        <f t="shared" si="143"/>
        <v>- -</v>
      </c>
      <c r="N417" s="19"/>
      <c r="O417" s="52" t="e">
        <f t="shared" si="138"/>
        <v>#N/A</v>
      </c>
      <c r="P417" s="52" t="e">
        <f t="shared" si="139"/>
        <v>#N/A</v>
      </c>
    </row>
    <row r="418" spans="3:16" ht="14.4" x14ac:dyDescent="0.3">
      <c r="C418" s="49" t="e">
        <f>VLOOKUP(B418,DAY!$C$2:$D$7,2,FALSE)</f>
        <v>#N/A</v>
      </c>
      <c r="D418" s="17"/>
      <c r="G418"/>
      <c r="H418"/>
      <c r="I418" s="52">
        <f t="shared" si="140"/>
        <v>1</v>
      </c>
      <c r="K418" s="52" t="str">
        <f t="shared" si="141"/>
        <v xml:space="preserve">-  </v>
      </c>
      <c r="L418" s="52" t="str">
        <f t="shared" si="142"/>
        <v xml:space="preserve"> --</v>
      </c>
      <c r="M418" s="52" t="str">
        <f t="shared" si="143"/>
        <v>- -</v>
      </c>
      <c r="N418" s="19"/>
      <c r="O418" s="52" t="e">
        <f t="shared" si="138"/>
        <v>#N/A</v>
      </c>
      <c r="P418" s="52" t="e">
        <f t="shared" si="139"/>
        <v>#N/A</v>
      </c>
    </row>
    <row r="419" spans="3:16" ht="14.4" x14ac:dyDescent="0.3">
      <c r="C419" s="49" t="e">
        <f>VLOOKUP(B419,DAY!$C$2:$D$7,2,FALSE)</f>
        <v>#N/A</v>
      </c>
      <c r="D419" s="17"/>
      <c r="G419"/>
      <c r="H419"/>
      <c r="I419" s="52">
        <f t="shared" si="140"/>
        <v>1</v>
      </c>
      <c r="K419" s="52" t="str">
        <f t="shared" si="141"/>
        <v xml:space="preserve">-  </v>
      </c>
      <c r="L419" s="52" t="str">
        <f t="shared" si="142"/>
        <v xml:space="preserve"> --</v>
      </c>
      <c r="M419" s="52" t="str">
        <f t="shared" si="143"/>
        <v>- -</v>
      </c>
      <c r="N419" s="19"/>
      <c r="O419" s="52" t="e">
        <f t="shared" si="138"/>
        <v>#N/A</v>
      </c>
      <c r="P419" s="52" t="e">
        <f t="shared" si="139"/>
        <v>#N/A</v>
      </c>
    </row>
    <row r="420" spans="3:16" ht="14.4" x14ac:dyDescent="0.3">
      <c r="C420" s="49" t="e">
        <f>VLOOKUP(B420,DAY!$C$2:$D$7,2,FALSE)</f>
        <v>#N/A</v>
      </c>
      <c r="D420" s="17"/>
      <c r="G420"/>
      <c r="H420"/>
      <c r="I420" s="52">
        <f t="shared" si="140"/>
        <v>1</v>
      </c>
      <c r="K420" s="52" t="str">
        <f t="shared" si="141"/>
        <v xml:space="preserve">-  </v>
      </c>
      <c r="L420" s="52" t="str">
        <f t="shared" si="142"/>
        <v xml:space="preserve"> --</v>
      </c>
      <c r="M420" s="52" t="str">
        <f t="shared" si="143"/>
        <v>- -</v>
      </c>
      <c r="N420" s="19"/>
      <c r="O420" s="52" t="e">
        <f t="shared" si="138"/>
        <v>#N/A</v>
      </c>
      <c r="P420" s="52" t="e">
        <f t="shared" si="139"/>
        <v>#N/A</v>
      </c>
    </row>
    <row r="421" spans="3:16" ht="14.4" x14ac:dyDescent="0.3">
      <c r="C421" s="49" t="e">
        <f>VLOOKUP(B421,DAY!$C$2:$D$7,2,FALSE)</f>
        <v>#N/A</v>
      </c>
      <c r="D421" s="17"/>
      <c r="G421"/>
      <c r="H421"/>
      <c r="I421" s="52">
        <f t="shared" si="140"/>
        <v>1</v>
      </c>
      <c r="K421" s="52" t="str">
        <f t="shared" si="141"/>
        <v xml:space="preserve">-  </v>
      </c>
      <c r="L421" s="52" t="str">
        <f t="shared" si="142"/>
        <v xml:space="preserve"> --</v>
      </c>
      <c r="M421" s="52" t="str">
        <f t="shared" si="143"/>
        <v>- -</v>
      </c>
      <c r="N421" s="19"/>
      <c r="O421" s="52" t="e">
        <f t="shared" si="138"/>
        <v>#N/A</v>
      </c>
      <c r="P421" s="52" t="e">
        <f t="shared" si="139"/>
        <v>#N/A</v>
      </c>
    </row>
    <row r="422" spans="3:16" ht="14.4" x14ac:dyDescent="0.3">
      <c r="C422" s="49" t="e">
        <f>VLOOKUP(B422,DAY!$C$2:$D$7,2,FALSE)</f>
        <v>#N/A</v>
      </c>
      <c r="D422" s="17"/>
      <c r="G422"/>
      <c r="H422"/>
      <c r="I422" s="52">
        <f t="shared" si="140"/>
        <v>1</v>
      </c>
      <c r="K422" s="52" t="str">
        <f t="shared" si="141"/>
        <v xml:space="preserve">-  </v>
      </c>
      <c r="L422" s="52" t="str">
        <f t="shared" si="142"/>
        <v xml:space="preserve"> --</v>
      </c>
      <c r="M422" s="52" t="str">
        <f t="shared" si="143"/>
        <v>- -</v>
      </c>
      <c r="N422" s="19"/>
      <c r="O422" s="52" t="e">
        <f t="shared" si="138"/>
        <v>#N/A</v>
      </c>
      <c r="P422" s="52" t="e">
        <f t="shared" si="139"/>
        <v>#N/A</v>
      </c>
    </row>
    <row r="423" spans="3:16" ht="14.4" x14ac:dyDescent="0.3">
      <c r="C423" s="49" t="e">
        <f>VLOOKUP(B423,DAY!$C$2:$D$7,2,FALSE)</f>
        <v>#N/A</v>
      </c>
      <c r="D423" s="17"/>
      <c r="G423"/>
      <c r="H423"/>
      <c r="I423" s="52">
        <f t="shared" si="140"/>
        <v>1</v>
      </c>
      <c r="K423" s="52" t="str">
        <f t="shared" si="141"/>
        <v xml:space="preserve">-  </v>
      </c>
      <c r="L423" s="52" t="str">
        <f t="shared" si="142"/>
        <v xml:space="preserve"> --</v>
      </c>
      <c r="M423" s="52" t="str">
        <f t="shared" si="143"/>
        <v>- -</v>
      </c>
      <c r="N423" s="19"/>
      <c r="O423" s="52" t="e">
        <f t="shared" si="138"/>
        <v>#N/A</v>
      </c>
      <c r="P423" s="52" t="e">
        <f t="shared" si="139"/>
        <v>#N/A</v>
      </c>
    </row>
    <row r="424" spans="3:16" ht="14.4" x14ac:dyDescent="0.3">
      <c r="C424" s="49" t="e">
        <f>VLOOKUP(B424,DAY!$C$2:$D$7,2,FALSE)</f>
        <v>#N/A</v>
      </c>
      <c r="D424" s="17"/>
      <c r="G424"/>
      <c r="H424"/>
      <c r="I424" s="52">
        <f t="shared" si="140"/>
        <v>1</v>
      </c>
      <c r="K424" s="52" t="str">
        <f t="shared" si="141"/>
        <v xml:space="preserve">-  </v>
      </c>
      <c r="L424" s="52" t="str">
        <f t="shared" si="142"/>
        <v xml:space="preserve"> --</v>
      </c>
      <c r="M424" s="52" t="str">
        <f t="shared" si="143"/>
        <v>- -</v>
      </c>
      <c r="N424" s="19"/>
      <c r="O424" s="52" t="e">
        <f t="shared" si="138"/>
        <v>#N/A</v>
      </c>
      <c r="P424" s="52" t="e">
        <f t="shared" si="139"/>
        <v>#N/A</v>
      </c>
    </row>
    <row r="425" spans="3:16" ht="14.4" x14ac:dyDescent="0.3">
      <c r="C425" s="49" t="e">
        <f>VLOOKUP(B425,DAY!$C$2:$D$7,2,FALSE)</f>
        <v>#N/A</v>
      </c>
      <c r="D425" s="17"/>
      <c r="G425"/>
      <c r="H425"/>
      <c r="I425" s="52">
        <f t="shared" si="140"/>
        <v>1</v>
      </c>
      <c r="K425" s="52" t="str">
        <f t="shared" si="141"/>
        <v xml:space="preserve">-  </v>
      </c>
      <c r="L425" s="52" t="str">
        <f t="shared" si="142"/>
        <v xml:space="preserve"> --</v>
      </c>
      <c r="M425" s="52" t="str">
        <f t="shared" si="143"/>
        <v>- -</v>
      </c>
      <c r="N425" s="19"/>
      <c r="O425" s="52" t="e">
        <f t="shared" si="138"/>
        <v>#N/A</v>
      </c>
      <c r="P425" s="52" t="e">
        <f t="shared" si="139"/>
        <v>#N/A</v>
      </c>
    </row>
    <row r="426" spans="3:16" ht="14.4" x14ac:dyDescent="0.3">
      <c r="C426" s="49" t="e">
        <f>VLOOKUP(B426,DAY!$C$2:$D$7,2,FALSE)</f>
        <v>#N/A</v>
      </c>
      <c r="D426" s="17"/>
      <c r="G426"/>
      <c r="H426"/>
      <c r="I426" s="52">
        <f t="shared" si="140"/>
        <v>1</v>
      </c>
      <c r="K426" s="52" t="str">
        <f t="shared" si="141"/>
        <v xml:space="preserve">-  </v>
      </c>
      <c r="L426" s="52" t="str">
        <f t="shared" si="142"/>
        <v xml:space="preserve"> --</v>
      </c>
      <c r="M426" s="52" t="str">
        <f t="shared" si="143"/>
        <v>- -</v>
      </c>
      <c r="N426" s="19"/>
      <c r="O426" s="52" t="e">
        <f t="shared" si="138"/>
        <v>#N/A</v>
      </c>
      <c r="P426" s="52" t="e">
        <f t="shared" si="139"/>
        <v>#N/A</v>
      </c>
    </row>
    <row r="427" spans="3:16" ht="14.4" x14ac:dyDescent="0.3">
      <c r="C427" s="49" t="e">
        <f>VLOOKUP(B427,DAY!$C$2:$D$7,2,FALSE)</f>
        <v>#N/A</v>
      </c>
      <c r="D427" s="17"/>
      <c r="G427"/>
      <c r="H427"/>
      <c r="I427" s="52">
        <f t="shared" si="140"/>
        <v>1</v>
      </c>
      <c r="K427" s="52" t="str">
        <f t="shared" si="141"/>
        <v xml:space="preserve">-  </v>
      </c>
      <c r="L427" s="52" t="str">
        <f t="shared" si="142"/>
        <v xml:space="preserve"> --</v>
      </c>
      <c r="M427" s="52" t="str">
        <f t="shared" si="143"/>
        <v>- -</v>
      </c>
      <c r="N427" s="19"/>
      <c r="O427" s="52" t="e">
        <f t="shared" si="138"/>
        <v>#N/A</v>
      </c>
      <c r="P427" s="52" t="e">
        <f t="shared" si="139"/>
        <v>#N/A</v>
      </c>
    </row>
    <row r="428" spans="3:16" ht="14.4" x14ac:dyDescent="0.3">
      <c r="C428" s="49" t="e">
        <f>VLOOKUP(B428,DAY!$C$2:$D$7,2,FALSE)</f>
        <v>#N/A</v>
      </c>
      <c r="D428" s="17"/>
      <c r="G428"/>
      <c r="H428"/>
      <c r="I428" s="52">
        <f t="shared" si="140"/>
        <v>1</v>
      </c>
      <c r="K428" s="52" t="str">
        <f t="shared" si="141"/>
        <v xml:space="preserve">-  </v>
      </c>
      <c r="L428" s="52" t="str">
        <f t="shared" si="142"/>
        <v xml:space="preserve"> --</v>
      </c>
      <c r="M428" s="52" t="str">
        <f t="shared" si="143"/>
        <v>- -</v>
      </c>
      <c r="N428" s="19"/>
      <c r="O428" s="52" t="e">
        <f t="shared" si="138"/>
        <v>#N/A</v>
      </c>
      <c r="P428" s="52" t="e">
        <f t="shared" si="139"/>
        <v>#N/A</v>
      </c>
    </row>
    <row r="429" spans="3:16" ht="14.4" x14ac:dyDescent="0.3">
      <c r="C429" s="49" t="e">
        <f>VLOOKUP(B429,DAY!$C$2:$D$7,2,FALSE)</f>
        <v>#N/A</v>
      </c>
      <c r="D429" s="17"/>
      <c r="G429"/>
      <c r="H429"/>
      <c r="I429" s="52">
        <f t="shared" si="140"/>
        <v>1</v>
      </c>
      <c r="K429" s="52" t="str">
        <f t="shared" si="141"/>
        <v xml:space="preserve">-  </v>
      </c>
      <c r="L429" s="52" t="str">
        <f t="shared" si="142"/>
        <v xml:space="preserve"> --</v>
      </c>
      <c r="M429" s="52" t="str">
        <f t="shared" si="143"/>
        <v>- -</v>
      </c>
      <c r="N429" s="19"/>
      <c r="O429" s="52" t="e">
        <f t="shared" si="138"/>
        <v>#N/A</v>
      </c>
      <c r="P429" s="52" t="e">
        <f t="shared" si="139"/>
        <v>#N/A</v>
      </c>
    </row>
    <row r="430" spans="3:16" ht="14.4" x14ac:dyDescent="0.3">
      <c r="C430" s="49" t="e">
        <f>VLOOKUP(B430,DAY!$C$2:$D$7,2,FALSE)</f>
        <v>#N/A</v>
      </c>
      <c r="D430" s="17"/>
      <c r="G430"/>
      <c r="H430"/>
      <c r="I430" s="52">
        <f t="shared" si="140"/>
        <v>1</v>
      </c>
      <c r="K430" s="52" t="str">
        <f t="shared" si="141"/>
        <v xml:space="preserve">-  </v>
      </c>
      <c r="L430" s="52" t="str">
        <f t="shared" si="142"/>
        <v xml:space="preserve"> --</v>
      </c>
      <c r="M430" s="52" t="str">
        <f t="shared" si="143"/>
        <v>- -</v>
      </c>
      <c r="N430" s="19"/>
      <c r="O430" s="52" t="e">
        <f t="shared" si="138"/>
        <v>#N/A</v>
      </c>
      <c r="P430" s="52" t="e">
        <f t="shared" si="139"/>
        <v>#N/A</v>
      </c>
    </row>
    <row r="431" spans="3:16" ht="14.4" x14ac:dyDescent="0.3">
      <c r="C431" s="49" t="e">
        <f>VLOOKUP(B431,DAY!$C$2:$D$7,2,FALSE)</f>
        <v>#N/A</v>
      </c>
      <c r="D431" s="17"/>
      <c r="G431"/>
      <c r="H431"/>
      <c r="I431" s="52">
        <f t="shared" si="140"/>
        <v>1</v>
      </c>
      <c r="K431" s="52" t="str">
        <f t="shared" si="141"/>
        <v xml:space="preserve">-  </v>
      </c>
      <c r="L431" s="52" t="str">
        <f t="shared" si="142"/>
        <v xml:space="preserve"> --</v>
      </c>
      <c r="M431" s="52" t="str">
        <f t="shared" si="143"/>
        <v>- -</v>
      </c>
      <c r="N431" s="19"/>
      <c r="O431" s="52" t="e">
        <f t="shared" si="138"/>
        <v>#N/A</v>
      </c>
      <c r="P431" s="52" t="e">
        <f t="shared" si="139"/>
        <v>#N/A</v>
      </c>
    </row>
    <row r="432" spans="3:16" ht="14.4" x14ac:dyDescent="0.3">
      <c r="C432" s="49" t="e">
        <f>VLOOKUP(B432,DAY!$C$2:$D$7,2,FALSE)</f>
        <v>#N/A</v>
      </c>
      <c r="D432" s="17"/>
      <c r="G432"/>
      <c r="H432"/>
      <c r="I432" s="52">
        <f t="shared" ref="I432:I433" si="144">IF(H432="",1,2)</f>
        <v>1</v>
      </c>
      <c r="K432" s="52" t="str">
        <f t="shared" ref="K432:K433" si="145">E432&amp;"-"&amp;A432&amp;" "&amp;H432&amp;" "&amp;G432</f>
        <v xml:space="preserve">-  </v>
      </c>
      <c r="L432" s="52" t="str">
        <f t="shared" ref="L432:L433" si="146">H432&amp;" "&amp;E432&amp;"-"&amp;F432&amp;"-"&amp;G432</f>
        <v xml:space="preserve"> --</v>
      </c>
      <c r="M432" s="52" t="str">
        <f t="shared" ref="M432:M433" si="147">A432&amp;"-"&amp;H432&amp;" "&amp;E432&amp;"-"&amp;F432</f>
        <v>- -</v>
      </c>
      <c r="N432" s="19"/>
      <c r="O432" s="52" t="e">
        <f t="shared" si="138"/>
        <v>#N/A</v>
      </c>
      <c r="P432" s="52" t="e">
        <f t="shared" si="139"/>
        <v>#N/A</v>
      </c>
    </row>
    <row r="433" spans="3:16" ht="14.4" x14ac:dyDescent="0.3">
      <c r="C433" s="49" t="e">
        <f>VLOOKUP(B433,DAY!$C$2:$D$7,2,FALSE)</f>
        <v>#N/A</v>
      </c>
      <c r="D433" s="17"/>
      <c r="G433"/>
      <c r="H433"/>
      <c r="I433" s="52">
        <f t="shared" si="144"/>
        <v>1</v>
      </c>
      <c r="K433" s="52" t="str">
        <f t="shared" si="145"/>
        <v xml:space="preserve">-  </v>
      </c>
      <c r="L433" s="52" t="str">
        <f t="shared" si="146"/>
        <v xml:space="preserve"> --</v>
      </c>
      <c r="M433" s="52" t="str">
        <f t="shared" si="147"/>
        <v>- -</v>
      </c>
      <c r="N433" s="19"/>
      <c r="O433" s="52" t="e">
        <f t="shared" si="138"/>
        <v>#N/A</v>
      </c>
      <c r="P433" s="52" t="e">
        <f t="shared" si="139"/>
        <v>#N/A</v>
      </c>
    </row>
    <row r="434" spans="3:16" ht="14.4" x14ac:dyDescent="0.3">
      <c r="C434" s="49" t="e">
        <f>VLOOKUP(B434,DAY!$C$2:$D$7,2,FALSE)</f>
        <v>#N/A</v>
      </c>
      <c r="D434" s="17"/>
      <c r="G434"/>
      <c r="H434"/>
      <c r="I434" s="52">
        <f t="shared" si="140"/>
        <v>1</v>
      </c>
      <c r="K434" s="52" t="str">
        <f t="shared" si="141"/>
        <v xml:space="preserve">-  </v>
      </c>
      <c r="L434" s="52" t="str">
        <f t="shared" si="142"/>
        <v xml:space="preserve"> --</v>
      </c>
      <c r="M434" s="52" t="str">
        <f t="shared" si="143"/>
        <v>- -</v>
      </c>
      <c r="N434" s="19"/>
      <c r="O434" s="52" t="e">
        <f t="shared" si="138"/>
        <v>#N/A</v>
      </c>
      <c r="P434" s="52" t="e">
        <f t="shared" si="139"/>
        <v>#N/A</v>
      </c>
    </row>
    <row r="435" spans="3:16" ht="14.4" x14ac:dyDescent="0.3">
      <c r="C435" s="49" t="e">
        <f>VLOOKUP(B435,DAY!$C$2:$D$7,2,FALSE)</f>
        <v>#N/A</v>
      </c>
      <c r="D435" s="17"/>
      <c r="G435"/>
      <c r="H435"/>
      <c r="I435" s="52">
        <f t="shared" si="140"/>
        <v>1</v>
      </c>
      <c r="K435" s="52" t="str">
        <f t="shared" si="141"/>
        <v xml:space="preserve">-  </v>
      </c>
      <c r="L435" s="52" t="str">
        <f t="shared" si="142"/>
        <v xml:space="preserve"> --</v>
      </c>
      <c r="M435" s="52" t="str">
        <f t="shared" si="143"/>
        <v>- -</v>
      </c>
      <c r="N435" s="19"/>
      <c r="O435" s="52" t="e">
        <f t="shared" si="138"/>
        <v>#N/A</v>
      </c>
      <c r="P435" s="52" t="e">
        <f t="shared" si="139"/>
        <v>#N/A</v>
      </c>
    </row>
    <row r="436" spans="3:16" ht="14.4" x14ac:dyDescent="0.3">
      <c r="C436" s="49" t="e">
        <f>VLOOKUP(B436,DAY!$C$2:$D$7,2,FALSE)</f>
        <v>#N/A</v>
      </c>
      <c r="D436" s="17"/>
      <c r="G436"/>
      <c r="H436"/>
      <c r="I436" s="52">
        <f t="shared" si="140"/>
        <v>1</v>
      </c>
      <c r="K436" s="52" t="str">
        <f t="shared" si="141"/>
        <v xml:space="preserve">-  </v>
      </c>
      <c r="L436" s="52" t="str">
        <f t="shared" si="142"/>
        <v xml:space="preserve"> --</v>
      </c>
      <c r="M436" s="52" t="str">
        <f t="shared" si="143"/>
        <v>- -</v>
      </c>
      <c r="N436" s="19"/>
      <c r="O436" s="52" t="e">
        <f t="shared" si="138"/>
        <v>#N/A</v>
      </c>
      <c r="P436" s="52" t="e">
        <f t="shared" si="139"/>
        <v>#N/A</v>
      </c>
    </row>
    <row r="437" spans="3:16" ht="14.4" x14ac:dyDescent="0.3">
      <c r="C437" s="49" t="e">
        <f>VLOOKUP(B437,DAY!$C$2:$D$7,2,FALSE)</f>
        <v>#N/A</v>
      </c>
      <c r="D437" s="17"/>
      <c r="G437"/>
      <c r="H437"/>
      <c r="I437" s="52">
        <f t="shared" si="140"/>
        <v>1</v>
      </c>
      <c r="K437" s="52" t="str">
        <f t="shared" si="141"/>
        <v xml:space="preserve">-  </v>
      </c>
      <c r="L437" s="52" t="str">
        <f t="shared" si="142"/>
        <v xml:space="preserve"> --</v>
      </c>
      <c r="M437" s="52" t="str">
        <f t="shared" si="143"/>
        <v>- -</v>
      </c>
      <c r="N437" s="19"/>
      <c r="O437" s="52" t="e">
        <f t="shared" si="138"/>
        <v>#N/A</v>
      </c>
      <c r="P437" s="52" t="e">
        <f t="shared" si="139"/>
        <v>#N/A</v>
      </c>
    </row>
    <row r="438" spans="3:16" ht="14.4" x14ac:dyDescent="0.3">
      <c r="C438" s="49" t="e">
        <f>VLOOKUP(B438,DAY!$C$2:$D$7,2,FALSE)</f>
        <v>#N/A</v>
      </c>
      <c r="D438" s="17"/>
      <c r="G438"/>
      <c r="H438"/>
      <c r="I438" s="52">
        <f t="shared" si="140"/>
        <v>1</v>
      </c>
      <c r="K438" s="52" t="str">
        <f t="shared" si="141"/>
        <v xml:space="preserve">-  </v>
      </c>
      <c r="L438" s="52" t="str">
        <f t="shared" si="142"/>
        <v xml:space="preserve"> --</v>
      </c>
      <c r="M438" s="52" t="str">
        <f t="shared" si="143"/>
        <v>- -</v>
      </c>
      <c r="N438" s="19"/>
      <c r="O438" s="52" t="e">
        <f t="shared" si="138"/>
        <v>#N/A</v>
      </c>
      <c r="P438" s="52" t="e">
        <f t="shared" si="139"/>
        <v>#N/A</v>
      </c>
    </row>
    <row r="439" spans="3:16" ht="14.4" x14ac:dyDescent="0.3">
      <c r="C439" s="49" t="e">
        <f>VLOOKUP(B439,DAY!$C$2:$D$7,2,FALSE)</f>
        <v>#N/A</v>
      </c>
      <c r="D439" s="17"/>
      <c r="G439"/>
      <c r="H439"/>
      <c r="I439" s="52">
        <f t="shared" si="140"/>
        <v>1</v>
      </c>
      <c r="K439" s="52" t="str">
        <f t="shared" si="141"/>
        <v xml:space="preserve">-  </v>
      </c>
      <c r="L439" s="52" t="str">
        <f t="shared" si="142"/>
        <v xml:space="preserve"> --</v>
      </c>
      <c r="M439" s="52" t="str">
        <f t="shared" si="143"/>
        <v>- -</v>
      </c>
      <c r="N439" s="19"/>
      <c r="O439" s="52" t="e">
        <f t="shared" si="138"/>
        <v>#N/A</v>
      </c>
      <c r="P439" s="52" t="e">
        <f t="shared" si="139"/>
        <v>#N/A</v>
      </c>
    </row>
    <row r="440" spans="3:16" ht="14.4" x14ac:dyDescent="0.3">
      <c r="C440" s="49" t="e">
        <f>VLOOKUP(B440,DAY!$C$2:$D$7,2,FALSE)</f>
        <v>#N/A</v>
      </c>
      <c r="D440" s="17"/>
      <c r="G440"/>
      <c r="H440"/>
      <c r="I440" s="52">
        <f t="shared" ref="I440:I488" si="148">IF(H440="",1,2)</f>
        <v>1</v>
      </c>
      <c r="K440" s="52" t="str">
        <f t="shared" ref="K440:K488" si="149">E440&amp;"-"&amp;A440&amp;" "&amp;H440&amp;" "&amp;G440</f>
        <v xml:space="preserve">-  </v>
      </c>
      <c r="L440" s="52" t="str">
        <f t="shared" ref="L440:L488" si="150">H440&amp;" "&amp;E440&amp;"-"&amp;F440&amp;"-"&amp;G440</f>
        <v xml:space="preserve"> --</v>
      </c>
      <c r="M440" s="52" t="str">
        <f t="shared" ref="M440:M488" si="151">A440&amp;"-"&amp;H440&amp;" "&amp;E440&amp;"-"&amp;F440</f>
        <v>- -</v>
      </c>
      <c r="N440" s="19"/>
      <c r="O440" s="52" t="e">
        <f t="shared" ref="O440:O483" si="152">C440&amp;D440&amp;F440</f>
        <v>#N/A</v>
      </c>
      <c r="P440" s="52" t="e">
        <f t="shared" ref="P440:P483" si="153">C440&amp;D440&amp;G440</f>
        <v>#N/A</v>
      </c>
    </row>
    <row r="441" spans="3:16" ht="14.4" x14ac:dyDescent="0.3">
      <c r="C441" s="49" t="e">
        <f>VLOOKUP(B441,DAY!$C$2:$D$7,2,FALSE)</f>
        <v>#N/A</v>
      </c>
      <c r="D441" s="17"/>
      <c r="G441"/>
      <c r="H441"/>
      <c r="I441" s="52">
        <f t="shared" si="148"/>
        <v>1</v>
      </c>
      <c r="K441" s="52" t="str">
        <f t="shared" si="149"/>
        <v xml:space="preserve">-  </v>
      </c>
      <c r="L441" s="52" t="str">
        <f t="shared" si="150"/>
        <v xml:space="preserve"> --</v>
      </c>
      <c r="M441" s="52" t="str">
        <f t="shared" si="151"/>
        <v>- -</v>
      </c>
      <c r="N441" s="19"/>
      <c r="O441" s="52" t="e">
        <f t="shared" si="152"/>
        <v>#N/A</v>
      </c>
      <c r="P441" s="52" t="e">
        <f t="shared" si="153"/>
        <v>#N/A</v>
      </c>
    </row>
    <row r="442" spans="3:16" ht="14.4" x14ac:dyDescent="0.3">
      <c r="C442" s="49" t="e">
        <f>VLOOKUP(B442,DAY!$C$2:$D$7,2,FALSE)</f>
        <v>#N/A</v>
      </c>
      <c r="D442" s="17"/>
      <c r="G442"/>
      <c r="H442"/>
      <c r="I442" s="52">
        <f t="shared" si="148"/>
        <v>1</v>
      </c>
      <c r="K442" s="52" t="str">
        <f t="shared" si="149"/>
        <v xml:space="preserve">-  </v>
      </c>
      <c r="L442" s="52" t="str">
        <f t="shared" si="150"/>
        <v xml:space="preserve"> --</v>
      </c>
      <c r="M442" s="52" t="str">
        <f t="shared" si="151"/>
        <v>- -</v>
      </c>
      <c r="N442" s="19"/>
      <c r="O442" s="52" t="e">
        <f t="shared" si="152"/>
        <v>#N/A</v>
      </c>
      <c r="P442" s="52" t="e">
        <f t="shared" si="153"/>
        <v>#N/A</v>
      </c>
    </row>
    <row r="443" spans="3:16" ht="14.4" x14ac:dyDescent="0.3">
      <c r="C443" s="49" t="e">
        <f>VLOOKUP(B443,DAY!$C$2:$D$7,2,FALSE)</f>
        <v>#N/A</v>
      </c>
      <c r="D443" s="17"/>
      <c r="G443"/>
      <c r="H443"/>
      <c r="I443" s="52">
        <f t="shared" si="148"/>
        <v>1</v>
      </c>
      <c r="K443" s="52" t="str">
        <f t="shared" si="149"/>
        <v xml:space="preserve">-  </v>
      </c>
      <c r="L443" s="52" t="str">
        <f t="shared" si="150"/>
        <v xml:space="preserve"> --</v>
      </c>
      <c r="M443" s="52" t="str">
        <f t="shared" si="151"/>
        <v>- -</v>
      </c>
      <c r="N443" s="19"/>
      <c r="O443" s="52" t="e">
        <f t="shared" si="152"/>
        <v>#N/A</v>
      </c>
      <c r="P443" s="52" t="e">
        <f t="shared" si="153"/>
        <v>#N/A</v>
      </c>
    </row>
    <row r="444" spans="3:16" ht="14.4" x14ac:dyDescent="0.3">
      <c r="C444" s="49" t="e">
        <f>VLOOKUP(B444,DAY!$C$2:$D$7,2,FALSE)</f>
        <v>#N/A</v>
      </c>
      <c r="D444" s="17"/>
      <c r="G444"/>
      <c r="H444"/>
      <c r="I444" s="52">
        <f t="shared" si="148"/>
        <v>1</v>
      </c>
      <c r="K444" s="52" t="str">
        <f t="shared" si="149"/>
        <v xml:space="preserve">-  </v>
      </c>
      <c r="L444" s="52" t="str">
        <f t="shared" si="150"/>
        <v xml:space="preserve"> --</v>
      </c>
      <c r="M444" s="52" t="str">
        <f t="shared" si="151"/>
        <v>- -</v>
      </c>
      <c r="N444" s="19"/>
      <c r="O444" s="52" t="e">
        <f t="shared" si="152"/>
        <v>#N/A</v>
      </c>
      <c r="P444" s="52" t="e">
        <f t="shared" si="153"/>
        <v>#N/A</v>
      </c>
    </row>
    <row r="445" spans="3:16" ht="14.4" x14ac:dyDescent="0.3">
      <c r="C445" s="49" t="e">
        <f>VLOOKUP(B445,DAY!$C$2:$D$7,2,FALSE)</f>
        <v>#N/A</v>
      </c>
      <c r="D445" s="17"/>
      <c r="G445"/>
      <c r="H445"/>
      <c r="I445" s="52">
        <f t="shared" si="148"/>
        <v>1</v>
      </c>
      <c r="K445" s="52" t="str">
        <f t="shared" si="149"/>
        <v xml:space="preserve">-  </v>
      </c>
      <c r="L445" s="52" t="str">
        <f t="shared" si="150"/>
        <v xml:space="preserve"> --</v>
      </c>
      <c r="M445" s="52" t="str">
        <f t="shared" si="151"/>
        <v>- -</v>
      </c>
      <c r="N445" s="19"/>
      <c r="O445" s="52" t="e">
        <f t="shared" si="152"/>
        <v>#N/A</v>
      </c>
      <c r="P445" s="52" t="e">
        <f t="shared" si="153"/>
        <v>#N/A</v>
      </c>
    </row>
    <row r="446" spans="3:16" ht="14.4" x14ac:dyDescent="0.3">
      <c r="C446" s="49" t="e">
        <f>VLOOKUP(B446,DAY!$C$2:$D$7,2,FALSE)</f>
        <v>#N/A</v>
      </c>
      <c r="D446" s="17"/>
      <c r="G446"/>
      <c r="H446"/>
      <c r="I446" s="52">
        <f t="shared" si="148"/>
        <v>1</v>
      </c>
      <c r="K446" s="52" t="str">
        <f t="shared" si="149"/>
        <v xml:space="preserve">-  </v>
      </c>
      <c r="L446" s="52" t="str">
        <f t="shared" si="150"/>
        <v xml:space="preserve"> --</v>
      </c>
      <c r="M446" s="52" t="str">
        <f t="shared" si="151"/>
        <v>- -</v>
      </c>
      <c r="N446" s="19"/>
      <c r="O446" s="52" t="e">
        <f t="shared" si="152"/>
        <v>#N/A</v>
      </c>
      <c r="P446" s="52" t="e">
        <f t="shared" si="153"/>
        <v>#N/A</v>
      </c>
    </row>
    <row r="447" spans="3:16" ht="14.4" x14ac:dyDescent="0.3">
      <c r="C447" s="49" t="e">
        <f>VLOOKUP(B447,DAY!$C$2:$D$7,2,FALSE)</f>
        <v>#N/A</v>
      </c>
      <c r="D447" s="17"/>
      <c r="G447"/>
      <c r="H447"/>
      <c r="I447" s="52">
        <f t="shared" si="148"/>
        <v>1</v>
      </c>
      <c r="K447" s="52" t="str">
        <f t="shared" si="149"/>
        <v xml:space="preserve">-  </v>
      </c>
      <c r="L447" s="52" t="str">
        <f t="shared" si="150"/>
        <v xml:space="preserve"> --</v>
      </c>
      <c r="M447" s="52" t="str">
        <f t="shared" si="151"/>
        <v>- -</v>
      </c>
      <c r="N447" s="19"/>
      <c r="O447" s="52" t="e">
        <f t="shared" si="152"/>
        <v>#N/A</v>
      </c>
      <c r="P447" s="52" t="e">
        <f t="shared" si="153"/>
        <v>#N/A</v>
      </c>
    </row>
    <row r="448" spans="3:16" ht="14.4" x14ac:dyDescent="0.3">
      <c r="C448" s="49" t="e">
        <f>VLOOKUP(B448,DAY!$C$2:$D$7,2,FALSE)</f>
        <v>#N/A</v>
      </c>
      <c r="D448" s="17"/>
      <c r="G448"/>
      <c r="H448"/>
      <c r="I448" s="52">
        <f t="shared" si="148"/>
        <v>1</v>
      </c>
      <c r="K448" s="52" t="str">
        <f t="shared" si="149"/>
        <v xml:space="preserve">-  </v>
      </c>
      <c r="L448" s="52" t="str">
        <f t="shared" si="150"/>
        <v xml:space="preserve"> --</v>
      </c>
      <c r="M448" s="52" t="str">
        <f t="shared" si="151"/>
        <v>- -</v>
      </c>
      <c r="N448" s="19"/>
      <c r="O448" s="52" t="e">
        <f t="shared" si="152"/>
        <v>#N/A</v>
      </c>
      <c r="P448" s="52" t="e">
        <f t="shared" si="153"/>
        <v>#N/A</v>
      </c>
    </row>
    <row r="449" spans="3:16" ht="14.4" x14ac:dyDescent="0.3">
      <c r="C449" s="49" t="e">
        <f>VLOOKUP(B449,DAY!$C$2:$D$7,2,FALSE)</f>
        <v>#N/A</v>
      </c>
      <c r="D449" s="17"/>
      <c r="G449"/>
      <c r="H449"/>
      <c r="I449" s="52">
        <f t="shared" si="148"/>
        <v>1</v>
      </c>
      <c r="K449" s="52" t="str">
        <f t="shared" si="149"/>
        <v xml:space="preserve">-  </v>
      </c>
      <c r="L449" s="52" t="str">
        <f t="shared" si="150"/>
        <v xml:space="preserve"> --</v>
      </c>
      <c r="M449" s="52" t="str">
        <f t="shared" si="151"/>
        <v>- -</v>
      </c>
      <c r="N449" s="19"/>
      <c r="O449" s="52" t="e">
        <f t="shared" si="152"/>
        <v>#N/A</v>
      </c>
      <c r="P449" s="52" t="e">
        <f t="shared" si="153"/>
        <v>#N/A</v>
      </c>
    </row>
    <row r="450" spans="3:16" ht="14.4" x14ac:dyDescent="0.3">
      <c r="C450" s="49" t="e">
        <f>VLOOKUP(B450,DAY!$C$2:$D$7,2,FALSE)</f>
        <v>#N/A</v>
      </c>
      <c r="D450" s="17"/>
      <c r="G450"/>
      <c r="H450"/>
      <c r="I450" s="52">
        <f t="shared" si="148"/>
        <v>1</v>
      </c>
      <c r="K450" s="52" t="str">
        <f t="shared" si="149"/>
        <v xml:space="preserve">-  </v>
      </c>
      <c r="L450" s="52" t="str">
        <f t="shared" si="150"/>
        <v xml:space="preserve"> --</v>
      </c>
      <c r="M450" s="52" t="str">
        <f t="shared" si="151"/>
        <v>- -</v>
      </c>
      <c r="N450" s="19"/>
      <c r="O450" s="52" t="e">
        <f t="shared" si="152"/>
        <v>#N/A</v>
      </c>
      <c r="P450" s="52" t="e">
        <f t="shared" si="153"/>
        <v>#N/A</v>
      </c>
    </row>
    <row r="451" spans="3:16" ht="14.4" x14ac:dyDescent="0.3">
      <c r="C451" s="49" t="e">
        <f>VLOOKUP(B451,DAY!$C$2:$D$7,2,FALSE)</f>
        <v>#N/A</v>
      </c>
      <c r="D451" s="17"/>
      <c r="G451"/>
      <c r="H451"/>
      <c r="I451" s="52">
        <f t="shared" si="148"/>
        <v>1</v>
      </c>
      <c r="K451" s="52" t="str">
        <f t="shared" si="149"/>
        <v xml:space="preserve">-  </v>
      </c>
      <c r="L451" s="52" t="str">
        <f t="shared" si="150"/>
        <v xml:space="preserve"> --</v>
      </c>
      <c r="M451" s="52" t="str">
        <f t="shared" si="151"/>
        <v>- -</v>
      </c>
      <c r="N451" s="19"/>
      <c r="O451" s="52" t="e">
        <f t="shared" si="152"/>
        <v>#N/A</v>
      </c>
      <c r="P451" s="52" t="e">
        <f t="shared" si="153"/>
        <v>#N/A</v>
      </c>
    </row>
    <row r="452" spans="3:16" ht="14.4" x14ac:dyDescent="0.3">
      <c r="C452" s="49" t="e">
        <f>VLOOKUP(B452,DAY!$C$2:$D$7,2,FALSE)</f>
        <v>#N/A</v>
      </c>
      <c r="D452" s="17"/>
      <c r="G452"/>
      <c r="H452"/>
      <c r="I452" s="52">
        <f t="shared" si="148"/>
        <v>1</v>
      </c>
      <c r="K452" s="52" t="str">
        <f t="shared" si="149"/>
        <v xml:space="preserve">-  </v>
      </c>
      <c r="L452" s="52" t="str">
        <f t="shared" si="150"/>
        <v xml:space="preserve"> --</v>
      </c>
      <c r="M452" s="52" t="str">
        <f t="shared" si="151"/>
        <v>- -</v>
      </c>
      <c r="N452" s="19"/>
      <c r="O452" s="52" t="e">
        <f t="shared" si="152"/>
        <v>#N/A</v>
      </c>
      <c r="P452" s="52" t="e">
        <f t="shared" si="153"/>
        <v>#N/A</v>
      </c>
    </row>
    <row r="453" spans="3:16" ht="14.4" x14ac:dyDescent="0.3">
      <c r="C453" s="49" t="e">
        <f>VLOOKUP(B453,DAY!$C$2:$D$7,2,FALSE)</f>
        <v>#N/A</v>
      </c>
      <c r="D453" s="17"/>
      <c r="G453"/>
      <c r="H453"/>
      <c r="I453" s="52">
        <f t="shared" si="148"/>
        <v>1</v>
      </c>
      <c r="K453" s="52" t="str">
        <f t="shared" si="149"/>
        <v xml:space="preserve">-  </v>
      </c>
      <c r="L453" s="52" t="str">
        <f t="shared" si="150"/>
        <v xml:space="preserve"> --</v>
      </c>
      <c r="M453" s="52" t="str">
        <f t="shared" si="151"/>
        <v>- -</v>
      </c>
      <c r="N453" s="19"/>
      <c r="O453" s="52" t="e">
        <f t="shared" si="152"/>
        <v>#N/A</v>
      </c>
      <c r="P453" s="52" t="e">
        <f t="shared" si="153"/>
        <v>#N/A</v>
      </c>
    </row>
    <row r="454" spans="3:16" ht="14.4" x14ac:dyDescent="0.3">
      <c r="C454" s="49" t="e">
        <f>VLOOKUP(B454,DAY!$C$2:$D$7,2,FALSE)</f>
        <v>#N/A</v>
      </c>
      <c r="D454" s="17"/>
      <c r="G454"/>
      <c r="H454"/>
      <c r="I454" s="52">
        <f t="shared" si="148"/>
        <v>1</v>
      </c>
      <c r="K454" s="52" t="str">
        <f t="shared" si="149"/>
        <v xml:space="preserve">-  </v>
      </c>
      <c r="L454" s="52" t="str">
        <f t="shared" si="150"/>
        <v xml:space="preserve"> --</v>
      </c>
      <c r="M454" s="52" t="str">
        <f t="shared" si="151"/>
        <v>- -</v>
      </c>
      <c r="N454" s="19"/>
      <c r="O454" s="52" t="e">
        <f t="shared" si="152"/>
        <v>#N/A</v>
      </c>
      <c r="P454" s="52" t="e">
        <f t="shared" si="153"/>
        <v>#N/A</v>
      </c>
    </row>
    <row r="455" spans="3:16" ht="14.4" x14ac:dyDescent="0.3">
      <c r="C455" s="49" t="e">
        <f>VLOOKUP(B455,DAY!$C$2:$D$7,2,FALSE)</f>
        <v>#N/A</v>
      </c>
      <c r="D455" s="17"/>
      <c r="G455"/>
      <c r="H455"/>
      <c r="I455" s="52">
        <f t="shared" si="148"/>
        <v>1</v>
      </c>
      <c r="K455" s="52" t="str">
        <f t="shared" si="149"/>
        <v xml:space="preserve">-  </v>
      </c>
      <c r="L455" s="52" t="str">
        <f t="shared" si="150"/>
        <v xml:space="preserve"> --</v>
      </c>
      <c r="M455" s="52" t="str">
        <f t="shared" si="151"/>
        <v>- -</v>
      </c>
      <c r="N455" s="19"/>
      <c r="O455" s="52" t="e">
        <f t="shared" si="152"/>
        <v>#N/A</v>
      </c>
      <c r="P455" s="52" t="e">
        <f t="shared" si="153"/>
        <v>#N/A</v>
      </c>
    </row>
    <row r="456" spans="3:16" ht="14.4" x14ac:dyDescent="0.3">
      <c r="C456" s="49" t="e">
        <f>VLOOKUP(B456,DAY!$C$2:$D$7,2,FALSE)</f>
        <v>#N/A</v>
      </c>
      <c r="D456" s="17"/>
      <c r="G456"/>
      <c r="H456"/>
      <c r="I456" s="52">
        <f t="shared" si="148"/>
        <v>1</v>
      </c>
      <c r="K456" s="52" t="str">
        <f t="shared" si="149"/>
        <v xml:space="preserve">-  </v>
      </c>
      <c r="L456" s="52" t="str">
        <f t="shared" si="150"/>
        <v xml:space="preserve"> --</v>
      </c>
      <c r="M456" s="52" t="str">
        <f t="shared" si="151"/>
        <v>- -</v>
      </c>
      <c r="N456" s="19"/>
      <c r="O456" s="52" t="e">
        <f t="shared" si="152"/>
        <v>#N/A</v>
      </c>
      <c r="P456" s="52" t="e">
        <f t="shared" si="153"/>
        <v>#N/A</v>
      </c>
    </row>
    <row r="457" spans="3:16" ht="14.4" x14ac:dyDescent="0.3">
      <c r="C457" s="49" t="e">
        <f>VLOOKUP(B457,DAY!$C$2:$D$7,2,FALSE)</f>
        <v>#N/A</v>
      </c>
      <c r="D457" s="17"/>
      <c r="G457"/>
      <c r="H457"/>
      <c r="I457" s="52">
        <f t="shared" si="148"/>
        <v>1</v>
      </c>
      <c r="K457" s="52" t="str">
        <f t="shared" si="149"/>
        <v xml:space="preserve">-  </v>
      </c>
      <c r="L457" s="52" t="str">
        <f t="shared" si="150"/>
        <v xml:space="preserve"> --</v>
      </c>
      <c r="M457" s="52" t="str">
        <f t="shared" si="151"/>
        <v>- -</v>
      </c>
      <c r="N457" s="19"/>
      <c r="O457" s="52" t="e">
        <f t="shared" si="152"/>
        <v>#N/A</v>
      </c>
      <c r="P457" s="52" t="e">
        <f t="shared" si="153"/>
        <v>#N/A</v>
      </c>
    </row>
    <row r="458" spans="3:16" ht="14.4" x14ac:dyDescent="0.3">
      <c r="C458" s="49" t="e">
        <f>VLOOKUP(B458,DAY!$C$2:$D$7,2,FALSE)</f>
        <v>#N/A</v>
      </c>
      <c r="D458" s="17"/>
      <c r="G458"/>
      <c r="H458"/>
      <c r="I458" s="52">
        <f t="shared" si="148"/>
        <v>1</v>
      </c>
      <c r="K458" s="52" t="str">
        <f t="shared" si="149"/>
        <v xml:space="preserve">-  </v>
      </c>
      <c r="L458" s="52" t="str">
        <f t="shared" si="150"/>
        <v xml:space="preserve"> --</v>
      </c>
      <c r="M458" s="52" t="str">
        <f t="shared" si="151"/>
        <v>- -</v>
      </c>
      <c r="N458" s="19"/>
      <c r="O458" s="52" t="e">
        <f t="shared" si="152"/>
        <v>#N/A</v>
      </c>
      <c r="P458" s="52" t="e">
        <f t="shared" si="153"/>
        <v>#N/A</v>
      </c>
    </row>
    <row r="459" spans="3:16" ht="14.4" x14ac:dyDescent="0.3">
      <c r="C459" s="49" t="e">
        <f>VLOOKUP(B459,DAY!$C$2:$D$7,2,FALSE)</f>
        <v>#N/A</v>
      </c>
      <c r="D459" s="17"/>
      <c r="G459"/>
      <c r="H459"/>
      <c r="I459" s="52">
        <f t="shared" si="148"/>
        <v>1</v>
      </c>
      <c r="K459" s="52" t="str">
        <f t="shared" si="149"/>
        <v xml:space="preserve">-  </v>
      </c>
      <c r="L459" s="52" t="str">
        <f t="shared" si="150"/>
        <v xml:space="preserve"> --</v>
      </c>
      <c r="M459" s="52" t="str">
        <f t="shared" si="151"/>
        <v>- -</v>
      </c>
      <c r="N459" s="19"/>
      <c r="O459" s="52" t="e">
        <f t="shared" si="152"/>
        <v>#N/A</v>
      </c>
      <c r="P459" s="52" t="e">
        <f t="shared" si="153"/>
        <v>#N/A</v>
      </c>
    </row>
    <row r="460" spans="3:16" ht="14.4" x14ac:dyDescent="0.3">
      <c r="C460" s="49" t="e">
        <f>VLOOKUP(B460,DAY!$C$2:$D$7,2,FALSE)</f>
        <v>#N/A</v>
      </c>
      <c r="D460" s="17"/>
      <c r="G460"/>
      <c r="H460"/>
      <c r="I460" s="52">
        <f t="shared" si="148"/>
        <v>1</v>
      </c>
      <c r="K460" s="52" t="str">
        <f t="shared" si="149"/>
        <v xml:space="preserve">-  </v>
      </c>
      <c r="L460" s="52" t="str">
        <f t="shared" si="150"/>
        <v xml:space="preserve"> --</v>
      </c>
      <c r="M460" s="52" t="str">
        <f t="shared" si="151"/>
        <v>- -</v>
      </c>
      <c r="N460" s="19"/>
      <c r="O460" s="52" t="e">
        <f t="shared" si="152"/>
        <v>#N/A</v>
      </c>
      <c r="P460" s="52" t="e">
        <f t="shared" si="153"/>
        <v>#N/A</v>
      </c>
    </row>
    <row r="461" spans="3:16" ht="14.4" x14ac:dyDescent="0.3">
      <c r="C461" s="49" t="e">
        <f>VLOOKUP(B461,DAY!$C$2:$D$7,2,FALSE)</f>
        <v>#N/A</v>
      </c>
      <c r="D461" s="17"/>
      <c r="G461"/>
      <c r="H461"/>
      <c r="I461" s="52">
        <f t="shared" si="148"/>
        <v>1</v>
      </c>
      <c r="K461" s="52" t="str">
        <f t="shared" si="149"/>
        <v xml:space="preserve">-  </v>
      </c>
      <c r="L461" s="52" t="str">
        <f t="shared" si="150"/>
        <v xml:space="preserve"> --</v>
      </c>
      <c r="M461" s="52" t="str">
        <f t="shared" si="151"/>
        <v>- -</v>
      </c>
      <c r="N461" s="19"/>
      <c r="O461" s="52" t="e">
        <f t="shared" si="152"/>
        <v>#N/A</v>
      </c>
      <c r="P461" s="52" t="e">
        <f t="shared" si="153"/>
        <v>#N/A</v>
      </c>
    </row>
    <row r="462" spans="3:16" ht="14.4" x14ac:dyDescent="0.3">
      <c r="C462" s="49" t="e">
        <f>VLOOKUP(B462,DAY!$C$2:$D$7,2,FALSE)</f>
        <v>#N/A</v>
      </c>
      <c r="D462" s="17"/>
      <c r="G462"/>
      <c r="H462"/>
      <c r="I462" s="52">
        <f t="shared" si="148"/>
        <v>1</v>
      </c>
      <c r="K462" s="52" t="str">
        <f t="shared" si="149"/>
        <v xml:space="preserve">-  </v>
      </c>
      <c r="L462" s="52" t="str">
        <f t="shared" si="150"/>
        <v xml:space="preserve"> --</v>
      </c>
      <c r="M462" s="52" t="str">
        <f t="shared" si="151"/>
        <v>- -</v>
      </c>
      <c r="N462" s="19"/>
      <c r="O462" s="52" t="e">
        <f t="shared" si="152"/>
        <v>#N/A</v>
      </c>
      <c r="P462" s="52" t="e">
        <f t="shared" si="153"/>
        <v>#N/A</v>
      </c>
    </row>
    <row r="463" spans="3:16" ht="14.4" x14ac:dyDescent="0.3">
      <c r="C463" s="49" t="e">
        <f>VLOOKUP(B463,DAY!$C$2:$D$7,2,FALSE)</f>
        <v>#N/A</v>
      </c>
      <c r="D463" s="17"/>
      <c r="G463"/>
      <c r="H463"/>
      <c r="I463" s="52">
        <f t="shared" si="148"/>
        <v>1</v>
      </c>
      <c r="K463" s="52" t="str">
        <f t="shared" si="149"/>
        <v xml:space="preserve">-  </v>
      </c>
      <c r="L463" s="52" t="str">
        <f t="shared" si="150"/>
        <v xml:space="preserve"> --</v>
      </c>
      <c r="M463" s="52" t="str">
        <f t="shared" si="151"/>
        <v>- -</v>
      </c>
      <c r="N463" s="19"/>
      <c r="O463" s="52" t="e">
        <f t="shared" si="152"/>
        <v>#N/A</v>
      </c>
      <c r="P463" s="52" t="e">
        <f t="shared" si="153"/>
        <v>#N/A</v>
      </c>
    </row>
    <row r="464" spans="3:16" ht="14.4" x14ac:dyDescent="0.3">
      <c r="C464" s="49" t="e">
        <f>VLOOKUP(B464,DAY!$C$2:$D$7,2,FALSE)</f>
        <v>#N/A</v>
      </c>
      <c r="D464" s="17"/>
      <c r="G464"/>
      <c r="H464"/>
      <c r="I464" s="52">
        <f t="shared" si="148"/>
        <v>1</v>
      </c>
      <c r="K464" s="52" t="str">
        <f t="shared" si="149"/>
        <v xml:space="preserve">-  </v>
      </c>
      <c r="L464" s="52" t="str">
        <f t="shared" si="150"/>
        <v xml:space="preserve"> --</v>
      </c>
      <c r="M464" s="52" t="str">
        <f t="shared" si="151"/>
        <v>- -</v>
      </c>
      <c r="N464" s="19"/>
      <c r="O464" s="52" t="e">
        <f t="shared" si="152"/>
        <v>#N/A</v>
      </c>
      <c r="P464" s="52" t="e">
        <f t="shared" si="153"/>
        <v>#N/A</v>
      </c>
    </row>
    <row r="465" spans="3:16" ht="14.4" x14ac:dyDescent="0.3">
      <c r="C465" s="49" t="e">
        <f>VLOOKUP(B465,DAY!$C$2:$D$7,2,FALSE)</f>
        <v>#N/A</v>
      </c>
      <c r="D465" s="17"/>
      <c r="G465"/>
      <c r="H465"/>
      <c r="I465" s="52">
        <f t="shared" si="148"/>
        <v>1</v>
      </c>
      <c r="K465" s="52" t="str">
        <f t="shared" si="149"/>
        <v xml:space="preserve">-  </v>
      </c>
      <c r="L465" s="52" t="str">
        <f t="shared" si="150"/>
        <v xml:space="preserve"> --</v>
      </c>
      <c r="M465" s="52" t="str">
        <f t="shared" si="151"/>
        <v>- -</v>
      </c>
      <c r="N465" s="19"/>
      <c r="O465" s="52" t="e">
        <f t="shared" si="152"/>
        <v>#N/A</v>
      </c>
      <c r="P465" s="52" t="e">
        <f t="shared" si="153"/>
        <v>#N/A</v>
      </c>
    </row>
    <row r="466" spans="3:16" ht="14.4" x14ac:dyDescent="0.3">
      <c r="C466" s="49" t="e">
        <f>VLOOKUP(B466,DAY!$C$2:$D$7,2,FALSE)</f>
        <v>#N/A</v>
      </c>
      <c r="D466" s="17"/>
      <c r="G466"/>
      <c r="H466"/>
      <c r="I466" s="52">
        <f t="shared" si="148"/>
        <v>1</v>
      </c>
      <c r="K466" s="52" t="str">
        <f t="shared" si="149"/>
        <v xml:space="preserve">-  </v>
      </c>
      <c r="L466" s="52" t="str">
        <f t="shared" si="150"/>
        <v xml:space="preserve"> --</v>
      </c>
      <c r="M466" s="52" t="str">
        <f t="shared" si="151"/>
        <v>- -</v>
      </c>
      <c r="N466" s="19"/>
      <c r="O466" s="52" t="e">
        <f t="shared" si="152"/>
        <v>#N/A</v>
      </c>
      <c r="P466" s="52" t="e">
        <f t="shared" si="153"/>
        <v>#N/A</v>
      </c>
    </row>
    <row r="467" spans="3:16" ht="14.4" x14ac:dyDescent="0.3">
      <c r="C467" s="49" t="e">
        <f>VLOOKUP(B467,DAY!$C$2:$D$7,2,FALSE)</f>
        <v>#N/A</v>
      </c>
      <c r="D467" s="17"/>
      <c r="G467"/>
      <c r="H467"/>
      <c r="I467" s="52">
        <f t="shared" si="148"/>
        <v>1</v>
      </c>
      <c r="K467" s="52" t="str">
        <f t="shared" si="149"/>
        <v xml:space="preserve">-  </v>
      </c>
      <c r="L467" s="52" t="str">
        <f t="shared" si="150"/>
        <v xml:space="preserve"> --</v>
      </c>
      <c r="M467" s="52" t="str">
        <f t="shared" si="151"/>
        <v>- -</v>
      </c>
      <c r="N467" s="19"/>
      <c r="O467" s="52" t="e">
        <f t="shared" si="152"/>
        <v>#N/A</v>
      </c>
      <c r="P467" s="52" t="e">
        <f t="shared" si="153"/>
        <v>#N/A</v>
      </c>
    </row>
    <row r="468" spans="3:16" ht="14.4" x14ac:dyDescent="0.3">
      <c r="C468" s="49" t="e">
        <f>VLOOKUP(B468,DAY!$C$2:$D$7,2,FALSE)</f>
        <v>#N/A</v>
      </c>
      <c r="D468" s="17"/>
      <c r="G468"/>
      <c r="H468"/>
      <c r="I468" s="52">
        <f t="shared" si="148"/>
        <v>1</v>
      </c>
      <c r="K468" s="52" t="str">
        <f t="shared" si="149"/>
        <v xml:space="preserve">-  </v>
      </c>
      <c r="L468" s="52" t="str">
        <f t="shared" si="150"/>
        <v xml:space="preserve"> --</v>
      </c>
      <c r="M468" s="52" t="str">
        <f t="shared" si="151"/>
        <v>- -</v>
      </c>
      <c r="N468" s="19"/>
      <c r="O468" s="52" t="e">
        <f t="shared" si="152"/>
        <v>#N/A</v>
      </c>
      <c r="P468" s="52" t="e">
        <f t="shared" si="153"/>
        <v>#N/A</v>
      </c>
    </row>
    <row r="469" spans="3:16" ht="14.4" x14ac:dyDescent="0.3">
      <c r="C469" s="49" t="e">
        <f>VLOOKUP(B469,DAY!$C$2:$D$7,2,FALSE)</f>
        <v>#N/A</v>
      </c>
      <c r="D469" s="17"/>
      <c r="G469"/>
      <c r="H469"/>
      <c r="I469" s="52">
        <f t="shared" si="148"/>
        <v>1</v>
      </c>
      <c r="K469" s="52" t="str">
        <f t="shared" si="149"/>
        <v xml:space="preserve">-  </v>
      </c>
      <c r="L469" s="52" t="str">
        <f t="shared" si="150"/>
        <v xml:space="preserve"> --</v>
      </c>
      <c r="M469" s="52" t="str">
        <f t="shared" si="151"/>
        <v>- -</v>
      </c>
      <c r="N469" s="19"/>
      <c r="O469" s="52" t="e">
        <f t="shared" si="152"/>
        <v>#N/A</v>
      </c>
      <c r="P469" s="52" t="e">
        <f t="shared" si="153"/>
        <v>#N/A</v>
      </c>
    </row>
    <row r="470" spans="3:16" ht="14.4" x14ac:dyDescent="0.3">
      <c r="C470" s="49" t="e">
        <f>VLOOKUP(B470,DAY!$C$2:$D$7,2,FALSE)</f>
        <v>#N/A</v>
      </c>
      <c r="D470" s="17"/>
      <c r="G470"/>
      <c r="H470"/>
      <c r="I470" s="52">
        <f t="shared" si="148"/>
        <v>1</v>
      </c>
      <c r="K470" s="52" t="str">
        <f t="shared" si="149"/>
        <v xml:space="preserve">-  </v>
      </c>
      <c r="L470" s="52" t="str">
        <f t="shared" si="150"/>
        <v xml:space="preserve"> --</v>
      </c>
      <c r="M470" s="52" t="str">
        <f t="shared" si="151"/>
        <v>- -</v>
      </c>
      <c r="N470" s="19"/>
      <c r="O470" s="52" t="e">
        <f t="shared" si="152"/>
        <v>#N/A</v>
      </c>
      <c r="P470" s="52" t="e">
        <f t="shared" si="153"/>
        <v>#N/A</v>
      </c>
    </row>
    <row r="471" spans="3:16" ht="14.4" x14ac:dyDescent="0.3">
      <c r="C471" s="49" t="e">
        <f>VLOOKUP(B471,DAY!$C$2:$D$7,2,FALSE)</f>
        <v>#N/A</v>
      </c>
      <c r="D471" s="17"/>
      <c r="G471"/>
      <c r="H471"/>
      <c r="I471" s="52">
        <f t="shared" si="148"/>
        <v>1</v>
      </c>
      <c r="K471" s="52" t="str">
        <f t="shared" si="149"/>
        <v xml:space="preserve">-  </v>
      </c>
      <c r="L471" s="52" t="str">
        <f t="shared" si="150"/>
        <v xml:space="preserve"> --</v>
      </c>
      <c r="M471" s="52" t="str">
        <f t="shared" si="151"/>
        <v>- -</v>
      </c>
      <c r="N471" s="19"/>
      <c r="O471" s="52" t="e">
        <f t="shared" si="152"/>
        <v>#N/A</v>
      </c>
      <c r="P471" s="52" t="e">
        <f t="shared" si="153"/>
        <v>#N/A</v>
      </c>
    </row>
    <row r="472" spans="3:16" ht="14.4" x14ac:dyDescent="0.3">
      <c r="C472" s="49" t="e">
        <f>VLOOKUP(B472,DAY!$C$2:$D$7,2,FALSE)</f>
        <v>#N/A</v>
      </c>
      <c r="D472" s="17"/>
      <c r="G472"/>
      <c r="H472"/>
      <c r="I472" s="52">
        <f t="shared" si="148"/>
        <v>1</v>
      </c>
      <c r="K472" s="52" t="str">
        <f t="shared" si="149"/>
        <v xml:space="preserve">-  </v>
      </c>
      <c r="L472" s="52" t="str">
        <f t="shared" si="150"/>
        <v xml:space="preserve"> --</v>
      </c>
      <c r="M472" s="52" t="str">
        <f t="shared" si="151"/>
        <v>- -</v>
      </c>
      <c r="N472" s="19"/>
      <c r="O472" s="52" t="e">
        <f t="shared" si="152"/>
        <v>#N/A</v>
      </c>
      <c r="P472" s="52" t="e">
        <f t="shared" si="153"/>
        <v>#N/A</v>
      </c>
    </row>
    <row r="473" spans="3:16" ht="14.4" x14ac:dyDescent="0.3">
      <c r="C473" s="49" t="e">
        <f>VLOOKUP(B473,DAY!$C$2:$D$7,2,FALSE)</f>
        <v>#N/A</v>
      </c>
      <c r="D473" s="17"/>
      <c r="G473"/>
      <c r="H473"/>
      <c r="I473" s="52">
        <f t="shared" si="148"/>
        <v>1</v>
      </c>
      <c r="K473" s="52" t="str">
        <f t="shared" si="149"/>
        <v xml:space="preserve">-  </v>
      </c>
      <c r="L473" s="52" t="str">
        <f t="shared" si="150"/>
        <v xml:space="preserve"> --</v>
      </c>
      <c r="M473" s="52" t="str">
        <f t="shared" si="151"/>
        <v>- -</v>
      </c>
      <c r="N473" s="19"/>
      <c r="O473" s="52" t="e">
        <f t="shared" si="152"/>
        <v>#N/A</v>
      </c>
      <c r="P473" s="52" t="e">
        <f t="shared" si="153"/>
        <v>#N/A</v>
      </c>
    </row>
    <row r="474" spans="3:16" ht="14.4" x14ac:dyDescent="0.3">
      <c r="C474" s="49" t="e">
        <f>VLOOKUP(B474,DAY!$C$2:$D$7,2,FALSE)</f>
        <v>#N/A</v>
      </c>
      <c r="D474" s="17"/>
      <c r="G474"/>
      <c r="H474"/>
      <c r="I474" s="52">
        <f t="shared" si="148"/>
        <v>1</v>
      </c>
      <c r="K474" s="52" t="str">
        <f t="shared" si="149"/>
        <v xml:space="preserve">-  </v>
      </c>
      <c r="L474" s="52" t="str">
        <f t="shared" si="150"/>
        <v xml:space="preserve"> --</v>
      </c>
      <c r="M474" s="52" t="str">
        <f t="shared" si="151"/>
        <v>- -</v>
      </c>
      <c r="N474" s="19"/>
      <c r="O474" s="52" t="e">
        <f t="shared" si="152"/>
        <v>#N/A</v>
      </c>
      <c r="P474" s="52" t="e">
        <f t="shared" si="153"/>
        <v>#N/A</v>
      </c>
    </row>
    <row r="475" spans="3:16" ht="14.4" x14ac:dyDescent="0.3">
      <c r="C475" s="49" t="e">
        <f>VLOOKUP(B475,DAY!$C$2:$D$7,2,FALSE)</f>
        <v>#N/A</v>
      </c>
      <c r="D475" s="17"/>
      <c r="G475"/>
      <c r="H475"/>
      <c r="I475" s="52">
        <f t="shared" si="148"/>
        <v>1</v>
      </c>
      <c r="K475" s="52" t="str">
        <f t="shared" si="149"/>
        <v xml:space="preserve">-  </v>
      </c>
      <c r="L475" s="52" t="str">
        <f t="shared" si="150"/>
        <v xml:space="preserve"> --</v>
      </c>
      <c r="M475" s="52" t="str">
        <f t="shared" si="151"/>
        <v>- -</v>
      </c>
      <c r="N475" s="19"/>
      <c r="O475" s="52" t="e">
        <f t="shared" si="152"/>
        <v>#N/A</v>
      </c>
      <c r="P475" s="52" t="e">
        <f t="shared" si="153"/>
        <v>#N/A</v>
      </c>
    </row>
    <row r="476" spans="3:16" ht="14.4" x14ac:dyDescent="0.3">
      <c r="C476" s="49" t="e">
        <f>VLOOKUP(B476,DAY!$C$2:$D$7,2,FALSE)</f>
        <v>#N/A</v>
      </c>
      <c r="D476" s="17"/>
      <c r="G476"/>
      <c r="H476"/>
      <c r="I476" s="52">
        <f t="shared" si="148"/>
        <v>1</v>
      </c>
      <c r="K476" s="52" t="str">
        <f t="shared" si="149"/>
        <v xml:space="preserve">-  </v>
      </c>
      <c r="L476" s="52" t="str">
        <f t="shared" si="150"/>
        <v xml:space="preserve"> --</v>
      </c>
      <c r="M476" s="52" t="str">
        <f t="shared" si="151"/>
        <v>- -</v>
      </c>
      <c r="N476" s="19"/>
      <c r="O476" s="52" t="e">
        <f t="shared" si="152"/>
        <v>#N/A</v>
      </c>
      <c r="P476" s="52" t="e">
        <f t="shared" si="153"/>
        <v>#N/A</v>
      </c>
    </row>
    <row r="477" spans="3:16" ht="14.4" x14ac:dyDescent="0.3">
      <c r="C477" s="49" t="e">
        <f>VLOOKUP(B477,DAY!$C$2:$D$7,2,FALSE)</f>
        <v>#N/A</v>
      </c>
      <c r="D477" s="17"/>
      <c r="G477"/>
      <c r="H477"/>
      <c r="I477" s="52">
        <f t="shared" si="148"/>
        <v>1</v>
      </c>
      <c r="K477" s="52" t="str">
        <f t="shared" si="149"/>
        <v xml:space="preserve">-  </v>
      </c>
      <c r="L477" s="52" t="str">
        <f t="shared" si="150"/>
        <v xml:space="preserve"> --</v>
      </c>
      <c r="M477" s="52" t="str">
        <f t="shared" si="151"/>
        <v>- -</v>
      </c>
      <c r="N477" s="19"/>
      <c r="O477" s="52" t="e">
        <f t="shared" si="152"/>
        <v>#N/A</v>
      </c>
      <c r="P477" s="52" t="e">
        <f t="shared" si="153"/>
        <v>#N/A</v>
      </c>
    </row>
    <row r="478" spans="3:16" ht="14.4" x14ac:dyDescent="0.3">
      <c r="C478" s="49" t="e">
        <f>VLOOKUP(B478,DAY!$C$2:$D$7,2,FALSE)</f>
        <v>#N/A</v>
      </c>
      <c r="D478" s="17"/>
      <c r="G478"/>
      <c r="H478"/>
      <c r="I478" s="52">
        <f t="shared" si="148"/>
        <v>1</v>
      </c>
      <c r="K478" s="52" t="str">
        <f t="shared" si="149"/>
        <v xml:space="preserve">-  </v>
      </c>
      <c r="L478" s="52" t="str">
        <f t="shared" si="150"/>
        <v xml:space="preserve"> --</v>
      </c>
      <c r="M478" s="52" t="str">
        <f t="shared" si="151"/>
        <v>- -</v>
      </c>
      <c r="N478" s="19"/>
      <c r="O478" s="52" t="e">
        <f t="shared" si="152"/>
        <v>#N/A</v>
      </c>
      <c r="P478" s="52" t="e">
        <f t="shared" si="153"/>
        <v>#N/A</v>
      </c>
    </row>
    <row r="479" spans="3:16" ht="14.4" x14ac:dyDescent="0.3">
      <c r="C479" s="49" t="e">
        <f>VLOOKUP(B479,DAY!$C$2:$D$7,2,FALSE)</f>
        <v>#N/A</v>
      </c>
      <c r="D479" s="17"/>
      <c r="G479"/>
      <c r="H479"/>
      <c r="I479" s="52">
        <f t="shared" si="148"/>
        <v>1</v>
      </c>
      <c r="K479" s="52" t="str">
        <f t="shared" si="149"/>
        <v xml:space="preserve">-  </v>
      </c>
      <c r="L479" s="52" t="str">
        <f t="shared" si="150"/>
        <v xml:space="preserve"> --</v>
      </c>
      <c r="M479" s="52" t="str">
        <f t="shared" si="151"/>
        <v>- -</v>
      </c>
      <c r="N479" s="19"/>
      <c r="O479" s="52" t="e">
        <f t="shared" si="152"/>
        <v>#N/A</v>
      </c>
      <c r="P479" s="52" t="e">
        <f t="shared" si="153"/>
        <v>#N/A</v>
      </c>
    </row>
    <row r="480" spans="3:16" ht="14.4" x14ac:dyDescent="0.3">
      <c r="C480" s="49" t="e">
        <f>VLOOKUP(B480,DAY!$C$2:$D$7,2,FALSE)</f>
        <v>#N/A</v>
      </c>
      <c r="D480" s="17"/>
      <c r="G480"/>
      <c r="H480"/>
      <c r="I480" s="52">
        <f t="shared" si="148"/>
        <v>1</v>
      </c>
      <c r="K480" s="52" t="str">
        <f t="shared" si="149"/>
        <v xml:space="preserve">-  </v>
      </c>
      <c r="L480" s="52" t="str">
        <f t="shared" si="150"/>
        <v xml:space="preserve"> --</v>
      </c>
      <c r="M480" s="52" t="str">
        <f t="shared" si="151"/>
        <v>- -</v>
      </c>
      <c r="N480" s="19"/>
      <c r="O480" s="52" t="e">
        <f t="shared" si="152"/>
        <v>#N/A</v>
      </c>
      <c r="P480" s="52" t="e">
        <f t="shared" si="153"/>
        <v>#N/A</v>
      </c>
    </row>
    <row r="481" spans="3:16" ht="14.4" x14ac:dyDescent="0.3">
      <c r="C481" s="49" t="e">
        <f>VLOOKUP(B481,DAY!$C$2:$D$7,2,FALSE)</f>
        <v>#N/A</v>
      </c>
      <c r="D481" s="17"/>
      <c r="G481"/>
      <c r="H481"/>
      <c r="I481" s="52">
        <f t="shared" si="148"/>
        <v>1</v>
      </c>
      <c r="K481" s="52" t="str">
        <f t="shared" si="149"/>
        <v xml:space="preserve">-  </v>
      </c>
      <c r="L481" s="52" t="str">
        <f t="shared" si="150"/>
        <v xml:space="preserve"> --</v>
      </c>
      <c r="M481" s="52" t="str">
        <f t="shared" si="151"/>
        <v>- -</v>
      </c>
      <c r="N481" s="19"/>
      <c r="O481" s="52" t="e">
        <f t="shared" si="152"/>
        <v>#N/A</v>
      </c>
      <c r="P481" s="52" t="e">
        <f t="shared" si="153"/>
        <v>#N/A</v>
      </c>
    </row>
    <row r="482" spans="3:16" ht="14.4" x14ac:dyDescent="0.3">
      <c r="C482" s="49" t="e">
        <f>VLOOKUP(B482,DAY!$C$2:$D$7,2,FALSE)</f>
        <v>#N/A</v>
      </c>
      <c r="D482" s="17"/>
      <c r="G482"/>
      <c r="H482"/>
      <c r="I482" s="52">
        <f t="shared" si="148"/>
        <v>1</v>
      </c>
      <c r="K482" s="52" t="str">
        <f t="shared" si="149"/>
        <v xml:space="preserve">-  </v>
      </c>
      <c r="L482" s="52" t="str">
        <f t="shared" si="150"/>
        <v xml:space="preserve"> --</v>
      </c>
      <c r="M482" s="52" t="str">
        <f t="shared" si="151"/>
        <v>- -</v>
      </c>
      <c r="N482" s="19"/>
      <c r="O482" s="52" t="e">
        <f t="shared" si="152"/>
        <v>#N/A</v>
      </c>
      <c r="P482" s="52" t="e">
        <f t="shared" si="153"/>
        <v>#N/A</v>
      </c>
    </row>
    <row r="483" spans="3:16" ht="14.4" x14ac:dyDescent="0.3">
      <c r="C483" s="49" t="e">
        <f>VLOOKUP(B483,DAY!$C$2:$D$7,2,FALSE)</f>
        <v>#N/A</v>
      </c>
      <c r="D483" s="17"/>
      <c r="G483"/>
      <c r="H483"/>
      <c r="I483" s="52">
        <f t="shared" si="148"/>
        <v>1</v>
      </c>
      <c r="K483" s="52" t="str">
        <f t="shared" si="149"/>
        <v xml:space="preserve">-  </v>
      </c>
      <c r="L483" s="52" t="str">
        <f t="shared" si="150"/>
        <v xml:space="preserve"> --</v>
      </c>
      <c r="M483" s="52" t="str">
        <f t="shared" si="151"/>
        <v>- -</v>
      </c>
      <c r="N483" s="19"/>
      <c r="O483" s="52" t="e">
        <f t="shared" si="152"/>
        <v>#N/A</v>
      </c>
      <c r="P483" s="52" t="e">
        <f t="shared" si="153"/>
        <v>#N/A</v>
      </c>
    </row>
    <row r="484" spans="3:16" ht="14.4" x14ac:dyDescent="0.3">
      <c r="C484" s="49" t="e">
        <f>VLOOKUP(B484,DAY!$C$2:$D$7,2,FALSE)</f>
        <v>#N/A</v>
      </c>
      <c r="D484" s="17"/>
      <c r="G484"/>
      <c r="H484"/>
      <c r="I484" s="52">
        <f t="shared" si="148"/>
        <v>1</v>
      </c>
      <c r="K484" s="52" t="str">
        <f t="shared" si="149"/>
        <v xml:space="preserve">-  </v>
      </c>
      <c r="L484" s="52" t="str">
        <f t="shared" si="150"/>
        <v xml:space="preserve"> --</v>
      </c>
      <c r="M484" s="52" t="str">
        <f t="shared" si="151"/>
        <v>- -</v>
      </c>
      <c r="N484" s="19"/>
      <c r="O484" s="52" t="e">
        <f t="shared" ref="O484:O540" si="154">C484&amp;D484&amp;F484</f>
        <v>#N/A</v>
      </c>
      <c r="P484" s="52" t="e">
        <f t="shared" ref="P484:P540" si="155">C484&amp;D484&amp;G484</f>
        <v>#N/A</v>
      </c>
    </row>
    <row r="485" spans="3:16" ht="14.4" x14ac:dyDescent="0.3">
      <c r="C485" s="49" t="e">
        <f>VLOOKUP(B485,DAY!$C$2:$D$7,2,FALSE)</f>
        <v>#N/A</v>
      </c>
      <c r="D485" s="17"/>
      <c r="G485"/>
      <c r="H485"/>
      <c r="I485" s="52">
        <f t="shared" si="148"/>
        <v>1</v>
      </c>
      <c r="K485" s="52" t="str">
        <f t="shared" si="149"/>
        <v xml:space="preserve">-  </v>
      </c>
      <c r="L485" s="52" t="str">
        <f t="shared" si="150"/>
        <v xml:space="preserve"> --</v>
      </c>
      <c r="M485" s="52" t="str">
        <f t="shared" si="151"/>
        <v>- -</v>
      </c>
      <c r="N485" s="19"/>
      <c r="O485" s="52" t="e">
        <f t="shared" si="154"/>
        <v>#N/A</v>
      </c>
      <c r="P485" s="52" t="e">
        <f t="shared" si="155"/>
        <v>#N/A</v>
      </c>
    </row>
    <row r="486" spans="3:16" ht="14.4" x14ac:dyDescent="0.3">
      <c r="C486" s="49" t="e">
        <f>VLOOKUP(B486,DAY!$C$2:$D$7,2,FALSE)</f>
        <v>#N/A</v>
      </c>
      <c r="D486" s="17"/>
      <c r="G486"/>
      <c r="H486"/>
      <c r="I486" s="52">
        <f t="shared" si="148"/>
        <v>1</v>
      </c>
      <c r="K486" s="52" t="str">
        <f t="shared" si="149"/>
        <v xml:space="preserve">-  </v>
      </c>
      <c r="L486" s="52" t="str">
        <f t="shared" si="150"/>
        <v xml:space="preserve"> --</v>
      </c>
      <c r="M486" s="52" t="str">
        <f t="shared" si="151"/>
        <v>- -</v>
      </c>
      <c r="N486" s="19"/>
      <c r="O486" s="52" t="e">
        <f t="shared" si="154"/>
        <v>#N/A</v>
      </c>
      <c r="P486" s="52" t="e">
        <f t="shared" si="155"/>
        <v>#N/A</v>
      </c>
    </row>
    <row r="487" spans="3:16" ht="14.4" x14ac:dyDescent="0.3">
      <c r="C487" s="49" t="e">
        <f>VLOOKUP(B487,DAY!$C$2:$D$7,2,FALSE)</f>
        <v>#N/A</v>
      </c>
      <c r="D487" s="17"/>
      <c r="G487"/>
      <c r="H487"/>
      <c r="I487" s="52">
        <f t="shared" si="148"/>
        <v>1</v>
      </c>
      <c r="K487" s="52" t="str">
        <f t="shared" si="149"/>
        <v xml:space="preserve">-  </v>
      </c>
      <c r="L487" s="52" t="str">
        <f t="shared" si="150"/>
        <v xml:space="preserve"> --</v>
      </c>
      <c r="M487" s="52" t="str">
        <f t="shared" si="151"/>
        <v>- -</v>
      </c>
      <c r="N487" s="19"/>
      <c r="O487" s="52" t="e">
        <f t="shared" si="154"/>
        <v>#N/A</v>
      </c>
      <c r="P487" s="52" t="e">
        <f t="shared" si="155"/>
        <v>#N/A</v>
      </c>
    </row>
    <row r="488" spans="3:16" ht="14.4" x14ac:dyDescent="0.3">
      <c r="C488" s="49" t="e">
        <f>VLOOKUP(B488,DAY!$C$2:$D$7,2,FALSE)</f>
        <v>#N/A</v>
      </c>
      <c r="D488" s="17"/>
      <c r="G488"/>
      <c r="H488"/>
      <c r="I488" s="52">
        <f t="shared" si="148"/>
        <v>1</v>
      </c>
      <c r="K488" s="52" t="str">
        <f t="shared" si="149"/>
        <v xml:space="preserve">-  </v>
      </c>
      <c r="L488" s="52" t="str">
        <f t="shared" si="150"/>
        <v xml:space="preserve"> --</v>
      </c>
      <c r="M488" s="52" t="str">
        <f t="shared" si="151"/>
        <v>- -</v>
      </c>
      <c r="N488" s="19"/>
      <c r="O488" s="52" t="e">
        <f t="shared" si="154"/>
        <v>#N/A</v>
      </c>
      <c r="P488" s="52" t="e">
        <f t="shared" si="155"/>
        <v>#N/A</v>
      </c>
    </row>
    <row r="489" spans="3:16" ht="14.4" x14ac:dyDescent="0.3">
      <c r="C489" s="49" t="e">
        <f>VLOOKUP(B489,DAY!$C$2:$D$7,2,FALSE)</f>
        <v>#N/A</v>
      </c>
      <c r="D489" s="17"/>
      <c r="G489"/>
      <c r="H489"/>
      <c r="I489" s="52">
        <f t="shared" ref="I489:I543" si="156">IF(H489="",1,2)</f>
        <v>1</v>
      </c>
      <c r="K489" s="52" t="str">
        <f t="shared" ref="K489:K542" si="157">E489&amp;"-"&amp;A489&amp;" "&amp;H489&amp;" "&amp;G489</f>
        <v xml:space="preserve">-  </v>
      </c>
      <c r="L489" s="52" t="str">
        <f t="shared" ref="L489:L542" si="158">H489&amp;" "&amp;E489&amp;"-"&amp;F489&amp;"-"&amp;G489</f>
        <v xml:space="preserve"> --</v>
      </c>
      <c r="M489" s="52" t="str">
        <f t="shared" ref="M489:M542" si="159">A489&amp;"-"&amp;H489&amp;" "&amp;E489&amp;"-"&amp;F489</f>
        <v>- -</v>
      </c>
      <c r="N489" s="19"/>
      <c r="O489" s="52" t="e">
        <f t="shared" si="154"/>
        <v>#N/A</v>
      </c>
      <c r="P489" s="52" t="e">
        <f t="shared" si="155"/>
        <v>#N/A</v>
      </c>
    </row>
    <row r="490" spans="3:16" ht="14.4" x14ac:dyDescent="0.3">
      <c r="C490" s="49" t="e">
        <f>VLOOKUP(B490,DAY!$C$2:$D$7,2,FALSE)</f>
        <v>#N/A</v>
      </c>
      <c r="D490" s="17"/>
      <c r="G490"/>
      <c r="H490"/>
      <c r="I490" s="52">
        <f t="shared" si="156"/>
        <v>1</v>
      </c>
      <c r="K490" s="52" t="str">
        <f t="shared" si="157"/>
        <v xml:space="preserve">-  </v>
      </c>
      <c r="L490" s="52" t="str">
        <f t="shared" si="158"/>
        <v xml:space="preserve"> --</v>
      </c>
      <c r="M490" s="52" t="str">
        <f t="shared" si="159"/>
        <v>- -</v>
      </c>
      <c r="N490" s="19"/>
      <c r="O490" s="52" t="e">
        <f t="shared" si="154"/>
        <v>#N/A</v>
      </c>
      <c r="P490" s="52" t="e">
        <f t="shared" si="155"/>
        <v>#N/A</v>
      </c>
    </row>
    <row r="491" spans="3:16" ht="14.4" x14ac:dyDescent="0.3">
      <c r="C491" s="49" t="e">
        <f>VLOOKUP(B491,DAY!$C$2:$D$7,2,FALSE)</f>
        <v>#N/A</v>
      </c>
      <c r="D491" s="17"/>
      <c r="G491"/>
      <c r="H491"/>
      <c r="I491" s="52">
        <f t="shared" si="156"/>
        <v>1</v>
      </c>
      <c r="K491" s="52" t="str">
        <f t="shared" si="157"/>
        <v xml:space="preserve">-  </v>
      </c>
      <c r="L491" s="52" t="str">
        <f t="shared" si="158"/>
        <v xml:space="preserve"> --</v>
      </c>
      <c r="M491" s="52" t="str">
        <f t="shared" si="159"/>
        <v>- -</v>
      </c>
      <c r="N491" s="19"/>
      <c r="O491" s="52" t="e">
        <f t="shared" si="154"/>
        <v>#N/A</v>
      </c>
      <c r="P491" s="52" t="e">
        <f t="shared" si="155"/>
        <v>#N/A</v>
      </c>
    </row>
    <row r="492" spans="3:16" ht="14.4" x14ac:dyDescent="0.3">
      <c r="C492" s="49" t="e">
        <f>VLOOKUP(B492,DAY!$C$2:$D$7,2,FALSE)</f>
        <v>#N/A</v>
      </c>
      <c r="D492" s="17"/>
      <c r="G492"/>
      <c r="H492"/>
      <c r="I492" s="52">
        <f t="shared" si="156"/>
        <v>1</v>
      </c>
      <c r="K492" s="52" t="str">
        <f t="shared" si="157"/>
        <v xml:space="preserve">-  </v>
      </c>
      <c r="L492" s="52" t="str">
        <f t="shared" si="158"/>
        <v xml:space="preserve"> --</v>
      </c>
      <c r="M492" s="52" t="str">
        <f t="shared" si="159"/>
        <v>- -</v>
      </c>
      <c r="N492" s="19"/>
      <c r="O492" s="52" t="e">
        <f t="shared" si="154"/>
        <v>#N/A</v>
      </c>
      <c r="P492" s="52" t="e">
        <f t="shared" si="155"/>
        <v>#N/A</v>
      </c>
    </row>
    <row r="493" spans="3:16" ht="14.4" x14ac:dyDescent="0.3">
      <c r="C493" s="49" t="e">
        <f>VLOOKUP(B493,DAY!$C$2:$D$7,2,FALSE)</f>
        <v>#N/A</v>
      </c>
      <c r="D493" s="17"/>
      <c r="G493"/>
      <c r="H493"/>
      <c r="I493" s="52">
        <f t="shared" si="156"/>
        <v>1</v>
      </c>
      <c r="K493" s="52" t="str">
        <f t="shared" si="157"/>
        <v xml:space="preserve">-  </v>
      </c>
      <c r="L493" s="52" t="str">
        <f t="shared" si="158"/>
        <v xml:space="preserve"> --</v>
      </c>
      <c r="M493" s="52" t="str">
        <f t="shared" si="159"/>
        <v>- -</v>
      </c>
      <c r="N493" s="19"/>
      <c r="O493" s="52" t="e">
        <f t="shared" si="154"/>
        <v>#N/A</v>
      </c>
      <c r="P493" s="52" t="e">
        <f t="shared" si="155"/>
        <v>#N/A</v>
      </c>
    </row>
    <row r="494" spans="3:16" ht="14.4" x14ac:dyDescent="0.3">
      <c r="C494" s="49" t="e">
        <f>VLOOKUP(B494,DAY!$C$2:$D$7,2,FALSE)</f>
        <v>#N/A</v>
      </c>
      <c r="D494" s="17"/>
      <c r="G494"/>
      <c r="H494"/>
      <c r="I494" s="52">
        <f t="shared" si="156"/>
        <v>1</v>
      </c>
      <c r="K494" s="52" t="str">
        <f t="shared" si="157"/>
        <v xml:space="preserve">-  </v>
      </c>
      <c r="L494" s="52" t="str">
        <f t="shared" si="158"/>
        <v xml:space="preserve"> --</v>
      </c>
      <c r="M494" s="52" t="str">
        <f t="shared" si="159"/>
        <v>- -</v>
      </c>
      <c r="N494" s="19"/>
      <c r="O494" s="52" t="e">
        <f t="shared" si="154"/>
        <v>#N/A</v>
      </c>
      <c r="P494" s="52" t="e">
        <f t="shared" si="155"/>
        <v>#N/A</v>
      </c>
    </row>
    <row r="495" spans="3:16" ht="14.4" x14ac:dyDescent="0.3">
      <c r="C495" s="49" t="e">
        <f>VLOOKUP(B495,DAY!$C$2:$D$7,2,FALSE)</f>
        <v>#N/A</v>
      </c>
      <c r="D495" s="17"/>
      <c r="G495"/>
      <c r="H495"/>
      <c r="I495" s="52">
        <f t="shared" si="156"/>
        <v>1</v>
      </c>
      <c r="K495" s="52" t="str">
        <f t="shared" si="157"/>
        <v xml:space="preserve">-  </v>
      </c>
      <c r="L495" s="52" t="str">
        <f t="shared" si="158"/>
        <v xml:space="preserve"> --</v>
      </c>
      <c r="M495" s="52" t="str">
        <f t="shared" si="159"/>
        <v>- -</v>
      </c>
      <c r="N495" s="19"/>
      <c r="O495" s="52" t="e">
        <f t="shared" si="154"/>
        <v>#N/A</v>
      </c>
      <c r="P495" s="52" t="e">
        <f t="shared" si="155"/>
        <v>#N/A</v>
      </c>
    </row>
    <row r="496" spans="3:16" ht="14.4" x14ac:dyDescent="0.3">
      <c r="C496" s="49" t="e">
        <f>VLOOKUP(B496,DAY!$C$2:$D$7,2,FALSE)</f>
        <v>#N/A</v>
      </c>
      <c r="D496" s="17"/>
      <c r="G496"/>
      <c r="H496"/>
      <c r="I496" s="52">
        <f t="shared" si="156"/>
        <v>1</v>
      </c>
      <c r="K496" s="52" t="str">
        <f t="shared" si="157"/>
        <v xml:space="preserve">-  </v>
      </c>
      <c r="L496" s="52" t="str">
        <f t="shared" si="158"/>
        <v xml:space="preserve"> --</v>
      </c>
      <c r="M496" s="52" t="str">
        <f t="shared" si="159"/>
        <v>- -</v>
      </c>
      <c r="N496" s="19"/>
      <c r="O496" s="52" t="e">
        <f t="shared" si="154"/>
        <v>#N/A</v>
      </c>
      <c r="P496" s="52" t="e">
        <f t="shared" si="155"/>
        <v>#N/A</v>
      </c>
    </row>
    <row r="497" spans="3:16" ht="14.4" x14ac:dyDescent="0.3">
      <c r="C497" s="49" t="e">
        <f>VLOOKUP(B497,DAY!$C$2:$D$7,2,FALSE)</f>
        <v>#N/A</v>
      </c>
      <c r="D497" s="17"/>
      <c r="G497"/>
      <c r="H497"/>
      <c r="I497" s="52">
        <f t="shared" si="156"/>
        <v>1</v>
      </c>
      <c r="K497" s="52" t="str">
        <f t="shared" si="157"/>
        <v xml:space="preserve">-  </v>
      </c>
      <c r="L497" s="52" t="str">
        <f t="shared" si="158"/>
        <v xml:space="preserve"> --</v>
      </c>
      <c r="M497" s="52" t="str">
        <f t="shared" si="159"/>
        <v>- -</v>
      </c>
      <c r="N497" s="19"/>
      <c r="O497" s="52" t="e">
        <f t="shared" si="154"/>
        <v>#N/A</v>
      </c>
      <c r="P497" s="52" t="e">
        <f t="shared" si="155"/>
        <v>#N/A</v>
      </c>
    </row>
    <row r="498" spans="3:16" ht="14.4" x14ac:dyDescent="0.3">
      <c r="C498" s="49" t="e">
        <f>VLOOKUP(B498,DAY!$C$2:$D$7,2,FALSE)</f>
        <v>#N/A</v>
      </c>
      <c r="D498" s="17"/>
      <c r="G498"/>
      <c r="H498"/>
      <c r="I498" s="52">
        <f t="shared" si="156"/>
        <v>1</v>
      </c>
      <c r="K498" s="52" t="str">
        <f t="shared" si="157"/>
        <v xml:space="preserve">-  </v>
      </c>
      <c r="L498" s="52" t="str">
        <f t="shared" si="158"/>
        <v xml:space="preserve"> --</v>
      </c>
      <c r="M498" s="52" t="str">
        <f t="shared" si="159"/>
        <v>- -</v>
      </c>
      <c r="N498" s="19"/>
      <c r="O498" s="52" t="e">
        <f t="shared" si="154"/>
        <v>#N/A</v>
      </c>
      <c r="P498" s="52" t="e">
        <f t="shared" si="155"/>
        <v>#N/A</v>
      </c>
    </row>
    <row r="499" spans="3:16" ht="14.4" x14ac:dyDescent="0.3">
      <c r="C499" s="49" t="e">
        <f>VLOOKUP(B499,DAY!$C$2:$D$7,2,FALSE)</f>
        <v>#N/A</v>
      </c>
      <c r="D499" s="17"/>
      <c r="G499"/>
      <c r="H499"/>
      <c r="I499" s="52">
        <f t="shared" si="156"/>
        <v>1</v>
      </c>
      <c r="K499" s="52" t="str">
        <f t="shared" si="157"/>
        <v xml:space="preserve">-  </v>
      </c>
      <c r="L499" s="52" t="str">
        <f t="shared" si="158"/>
        <v xml:space="preserve"> --</v>
      </c>
      <c r="M499" s="52" t="str">
        <f t="shared" si="159"/>
        <v>- -</v>
      </c>
      <c r="N499" s="19"/>
      <c r="O499" s="52" t="e">
        <f t="shared" si="154"/>
        <v>#N/A</v>
      </c>
      <c r="P499" s="52" t="e">
        <f t="shared" si="155"/>
        <v>#N/A</v>
      </c>
    </row>
    <row r="500" spans="3:16" ht="14.4" x14ac:dyDescent="0.3">
      <c r="C500" s="49" t="e">
        <f>VLOOKUP(B500,DAY!$C$2:$D$7,2,FALSE)</f>
        <v>#N/A</v>
      </c>
      <c r="D500" s="17"/>
      <c r="G500"/>
      <c r="H500"/>
      <c r="I500" s="52">
        <f t="shared" si="156"/>
        <v>1</v>
      </c>
      <c r="K500" s="52" t="str">
        <f t="shared" si="157"/>
        <v xml:space="preserve">-  </v>
      </c>
      <c r="L500" s="52" t="str">
        <f t="shared" si="158"/>
        <v xml:space="preserve"> --</v>
      </c>
      <c r="M500" s="52" t="str">
        <f t="shared" si="159"/>
        <v>- -</v>
      </c>
      <c r="N500" s="19"/>
      <c r="O500" s="52" t="e">
        <f t="shared" si="154"/>
        <v>#N/A</v>
      </c>
      <c r="P500" s="52" t="e">
        <f t="shared" si="155"/>
        <v>#N/A</v>
      </c>
    </row>
    <row r="501" spans="3:16" ht="14.4" x14ac:dyDescent="0.3">
      <c r="C501" s="49" t="e">
        <f>VLOOKUP(B501,DAY!$C$2:$D$7,2,FALSE)</f>
        <v>#N/A</v>
      </c>
      <c r="D501" s="17"/>
      <c r="G501"/>
      <c r="H501"/>
      <c r="I501" s="52">
        <f t="shared" si="156"/>
        <v>1</v>
      </c>
      <c r="K501" s="52" t="str">
        <f t="shared" si="157"/>
        <v xml:space="preserve">-  </v>
      </c>
      <c r="L501" s="52" t="str">
        <f t="shared" si="158"/>
        <v xml:space="preserve"> --</v>
      </c>
      <c r="M501" s="52" t="str">
        <f t="shared" si="159"/>
        <v>- -</v>
      </c>
      <c r="N501" s="19"/>
      <c r="O501" s="52" t="e">
        <f t="shared" si="154"/>
        <v>#N/A</v>
      </c>
      <c r="P501" s="52" t="e">
        <f t="shared" si="155"/>
        <v>#N/A</v>
      </c>
    </row>
    <row r="502" spans="3:16" ht="14.4" x14ac:dyDescent="0.3">
      <c r="C502" s="49" t="e">
        <f>VLOOKUP(B502,DAY!$C$2:$D$7,2,FALSE)</f>
        <v>#N/A</v>
      </c>
      <c r="D502" s="17"/>
      <c r="G502"/>
      <c r="H502"/>
      <c r="I502" s="52">
        <f t="shared" si="156"/>
        <v>1</v>
      </c>
      <c r="K502" s="52" t="str">
        <f t="shared" si="157"/>
        <v xml:space="preserve">-  </v>
      </c>
      <c r="L502" s="52" t="str">
        <f t="shared" si="158"/>
        <v xml:space="preserve"> --</v>
      </c>
      <c r="M502" s="52" t="str">
        <f t="shared" si="159"/>
        <v>- -</v>
      </c>
      <c r="N502" s="19"/>
      <c r="O502" s="52" t="e">
        <f t="shared" si="154"/>
        <v>#N/A</v>
      </c>
      <c r="P502" s="52" t="e">
        <f t="shared" si="155"/>
        <v>#N/A</v>
      </c>
    </row>
    <row r="503" spans="3:16" ht="14.4" x14ac:dyDescent="0.3">
      <c r="C503" s="49" t="e">
        <f>VLOOKUP(B503,DAY!$C$2:$D$7,2,FALSE)</f>
        <v>#N/A</v>
      </c>
      <c r="D503" s="17"/>
      <c r="G503"/>
      <c r="H503"/>
      <c r="I503" s="52">
        <f t="shared" si="156"/>
        <v>1</v>
      </c>
      <c r="K503" s="52" t="str">
        <f t="shared" si="157"/>
        <v xml:space="preserve">-  </v>
      </c>
      <c r="L503" s="52" t="str">
        <f t="shared" si="158"/>
        <v xml:space="preserve"> --</v>
      </c>
      <c r="M503" s="52" t="str">
        <f t="shared" si="159"/>
        <v>- -</v>
      </c>
      <c r="N503" s="19"/>
      <c r="O503" s="52" t="e">
        <f t="shared" si="154"/>
        <v>#N/A</v>
      </c>
      <c r="P503" s="52" t="e">
        <f t="shared" si="155"/>
        <v>#N/A</v>
      </c>
    </row>
    <row r="504" spans="3:16" ht="14.4" x14ac:dyDescent="0.3">
      <c r="C504" s="49" t="e">
        <f>VLOOKUP(B504,DAY!$C$2:$D$7,2,FALSE)</f>
        <v>#N/A</v>
      </c>
      <c r="D504" s="17"/>
      <c r="G504"/>
      <c r="H504"/>
      <c r="I504" s="52">
        <f t="shared" si="156"/>
        <v>1</v>
      </c>
      <c r="K504" s="52" t="str">
        <f t="shared" si="157"/>
        <v xml:space="preserve">-  </v>
      </c>
      <c r="L504" s="52" t="str">
        <f t="shared" si="158"/>
        <v xml:space="preserve"> --</v>
      </c>
      <c r="M504" s="52" t="str">
        <f t="shared" si="159"/>
        <v>- -</v>
      </c>
      <c r="N504" s="19"/>
      <c r="O504" s="52" t="e">
        <f t="shared" si="154"/>
        <v>#N/A</v>
      </c>
      <c r="P504" s="52" t="e">
        <f t="shared" si="155"/>
        <v>#N/A</v>
      </c>
    </row>
    <row r="505" spans="3:16" ht="14.4" x14ac:dyDescent="0.3">
      <c r="C505" s="49" t="e">
        <f>VLOOKUP(B505,DAY!$C$2:$D$7,2,FALSE)</f>
        <v>#N/A</v>
      </c>
      <c r="D505" s="17"/>
      <c r="G505"/>
      <c r="H505"/>
      <c r="I505" s="52">
        <f t="shared" si="156"/>
        <v>1</v>
      </c>
      <c r="K505" s="52" t="str">
        <f t="shared" si="157"/>
        <v xml:space="preserve">-  </v>
      </c>
      <c r="L505" s="52" t="str">
        <f t="shared" si="158"/>
        <v xml:space="preserve"> --</v>
      </c>
      <c r="M505" s="52" t="str">
        <f t="shared" si="159"/>
        <v>- -</v>
      </c>
      <c r="N505" s="19"/>
      <c r="O505" s="52" t="e">
        <f t="shared" si="154"/>
        <v>#N/A</v>
      </c>
      <c r="P505" s="52" t="e">
        <f t="shared" si="155"/>
        <v>#N/A</v>
      </c>
    </row>
    <row r="506" spans="3:16" ht="14.4" x14ac:dyDescent="0.3">
      <c r="C506" s="49" t="e">
        <f>VLOOKUP(B506,DAY!$C$2:$D$7,2,FALSE)</f>
        <v>#N/A</v>
      </c>
      <c r="D506" s="17"/>
      <c r="G506"/>
      <c r="H506"/>
      <c r="I506" s="52">
        <f t="shared" si="156"/>
        <v>1</v>
      </c>
      <c r="K506" s="52" t="str">
        <f t="shared" si="157"/>
        <v xml:space="preserve">-  </v>
      </c>
      <c r="L506" s="52" t="str">
        <f t="shared" si="158"/>
        <v xml:space="preserve"> --</v>
      </c>
      <c r="M506" s="52" t="str">
        <f t="shared" si="159"/>
        <v>- -</v>
      </c>
      <c r="N506" s="19"/>
      <c r="O506" s="52" t="e">
        <f t="shared" si="154"/>
        <v>#N/A</v>
      </c>
      <c r="P506" s="52" t="e">
        <f t="shared" si="155"/>
        <v>#N/A</v>
      </c>
    </row>
    <row r="507" spans="3:16" ht="14.4" x14ac:dyDescent="0.3">
      <c r="C507" s="49" t="e">
        <f>VLOOKUP(B507,DAY!$C$2:$D$7,2,FALSE)</f>
        <v>#N/A</v>
      </c>
      <c r="D507" s="17"/>
      <c r="G507"/>
      <c r="H507"/>
      <c r="I507" s="52">
        <f t="shared" si="156"/>
        <v>1</v>
      </c>
      <c r="K507" s="52" t="str">
        <f t="shared" si="157"/>
        <v xml:space="preserve">-  </v>
      </c>
      <c r="L507" s="52" t="str">
        <f t="shared" si="158"/>
        <v xml:space="preserve"> --</v>
      </c>
      <c r="M507" s="52" t="str">
        <f t="shared" si="159"/>
        <v>- -</v>
      </c>
      <c r="N507" s="19"/>
      <c r="O507" s="52" t="e">
        <f t="shared" si="154"/>
        <v>#N/A</v>
      </c>
      <c r="P507" s="52" t="e">
        <f t="shared" si="155"/>
        <v>#N/A</v>
      </c>
    </row>
    <row r="508" spans="3:16" ht="14.4" x14ac:dyDescent="0.3">
      <c r="C508" s="49" t="e">
        <f>VLOOKUP(B508,DAY!$C$2:$D$7,2,FALSE)</f>
        <v>#N/A</v>
      </c>
      <c r="D508" s="17"/>
      <c r="G508"/>
      <c r="H508"/>
      <c r="I508" s="52">
        <f t="shared" si="156"/>
        <v>1</v>
      </c>
      <c r="K508" s="52" t="str">
        <f t="shared" si="157"/>
        <v xml:space="preserve">-  </v>
      </c>
      <c r="L508" s="52" t="str">
        <f t="shared" si="158"/>
        <v xml:space="preserve"> --</v>
      </c>
      <c r="M508" s="52" t="str">
        <f t="shared" si="159"/>
        <v>- -</v>
      </c>
      <c r="N508" s="19"/>
      <c r="O508" s="52" t="e">
        <f t="shared" si="154"/>
        <v>#N/A</v>
      </c>
      <c r="P508" s="52" t="e">
        <f t="shared" si="155"/>
        <v>#N/A</v>
      </c>
    </row>
    <row r="509" spans="3:16" ht="14.4" x14ac:dyDescent="0.3">
      <c r="C509" s="49" t="e">
        <f>VLOOKUP(B509,DAY!$C$2:$D$7,2,FALSE)</f>
        <v>#N/A</v>
      </c>
      <c r="D509" s="17"/>
      <c r="G509"/>
      <c r="H509"/>
      <c r="I509" s="52">
        <f t="shared" si="156"/>
        <v>1</v>
      </c>
      <c r="K509" s="52" t="str">
        <f t="shared" si="157"/>
        <v xml:space="preserve">-  </v>
      </c>
      <c r="L509" s="52" t="str">
        <f t="shared" si="158"/>
        <v xml:space="preserve"> --</v>
      </c>
      <c r="M509" s="52" t="str">
        <f t="shared" si="159"/>
        <v>- -</v>
      </c>
      <c r="N509" s="19"/>
      <c r="O509" s="52" t="e">
        <f t="shared" si="154"/>
        <v>#N/A</v>
      </c>
      <c r="P509" s="52" t="e">
        <f t="shared" si="155"/>
        <v>#N/A</v>
      </c>
    </row>
    <row r="510" spans="3:16" ht="14.4" x14ac:dyDescent="0.3">
      <c r="C510" s="49" t="e">
        <f>VLOOKUP(B510,DAY!$C$2:$D$7,2,FALSE)</f>
        <v>#N/A</v>
      </c>
      <c r="D510" s="17"/>
      <c r="G510"/>
      <c r="H510"/>
      <c r="I510" s="52">
        <f t="shared" si="156"/>
        <v>1</v>
      </c>
      <c r="K510" s="52" t="str">
        <f t="shared" si="157"/>
        <v xml:space="preserve">-  </v>
      </c>
      <c r="L510" s="52" t="str">
        <f t="shared" si="158"/>
        <v xml:space="preserve"> --</v>
      </c>
      <c r="M510" s="52" t="str">
        <f t="shared" si="159"/>
        <v>- -</v>
      </c>
      <c r="N510" s="19"/>
      <c r="O510" s="52" t="e">
        <f t="shared" si="154"/>
        <v>#N/A</v>
      </c>
      <c r="P510" s="52" t="e">
        <f t="shared" si="155"/>
        <v>#N/A</v>
      </c>
    </row>
    <row r="511" spans="3:16" ht="14.4" x14ac:dyDescent="0.3">
      <c r="C511" s="49" t="e">
        <f>VLOOKUP(B511,DAY!$C$2:$D$7,2,FALSE)</f>
        <v>#N/A</v>
      </c>
      <c r="D511" s="17"/>
      <c r="G511"/>
      <c r="H511"/>
      <c r="I511" s="52">
        <f t="shared" si="156"/>
        <v>1</v>
      </c>
      <c r="K511" s="52" t="str">
        <f t="shared" si="157"/>
        <v xml:space="preserve">-  </v>
      </c>
      <c r="L511" s="52" t="str">
        <f t="shared" si="158"/>
        <v xml:space="preserve"> --</v>
      </c>
      <c r="M511" s="52" t="str">
        <f t="shared" si="159"/>
        <v>- -</v>
      </c>
      <c r="N511" s="19"/>
      <c r="O511" s="52" t="e">
        <f t="shared" si="154"/>
        <v>#N/A</v>
      </c>
      <c r="P511" s="52" t="e">
        <f t="shared" si="155"/>
        <v>#N/A</v>
      </c>
    </row>
    <row r="512" spans="3:16" ht="14.4" x14ac:dyDescent="0.3">
      <c r="C512" s="49" t="e">
        <f>VLOOKUP(B512,DAY!$C$2:$D$7,2,FALSE)</f>
        <v>#N/A</v>
      </c>
      <c r="D512" s="17"/>
      <c r="G512"/>
      <c r="H512"/>
      <c r="I512" s="52">
        <f t="shared" si="156"/>
        <v>1</v>
      </c>
      <c r="K512" s="52" t="str">
        <f t="shared" si="157"/>
        <v xml:space="preserve">-  </v>
      </c>
      <c r="L512" s="52" t="str">
        <f t="shared" si="158"/>
        <v xml:space="preserve"> --</v>
      </c>
      <c r="M512" s="52" t="str">
        <f t="shared" si="159"/>
        <v>- -</v>
      </c>
      <c r="N512" s="19"/>
      <c r="O512" s="52" t="e">
        <f t="shared" si="154"/>
        <v>#N/A</v>
      </c>
      <c r="P512" s="52" t="e">
        <f t="shared" si="155"/>
        <v>#N/A</v>
      </c>
    </row>
    <row r="513" spans="3:16" ht="14.4" x14ac:dyDescent="0.3">
      <c r="C513" s="49" t="e">
        <f>VLOOKUP(B513,DAY!$C$2:$D$7,2,FALSE)</f>
        <v>#N/A</v>
      </c>
      <c r="D513" s="17"/>
      <c r="G513"/>
      <c r="H513"/>
      <c r="I513" s="52">
        <f t="shared" si="156"/>
        <v>1</v>
      </c>
      <c r="K513" s="52" t="str">
        <f t="shared" si="157"/>
        <v xml:space="preserve">-  </v>
      </c>
      <c r="L513" s="52" t="str">
        <f t="shared" si="158"/>
        <v xml:space="preserve"> --</v>
      </c>
      <c r="M513" s="52" t="str">
        <f t="shared" si="159"/>
        <v>- -</v>
      </c>
      <c r="N513" s="19"/>
      <c r="O513" s="52" t="e">
        <f t="shared" si="154"/>
        <v>#N/A</v>
      </c>
      <c r="P513" s="52" t="e">
        <f t="shared" si="155"/>
        <v>#N/A</v>
      </c>
    </row>
    <row r="514" spans="3:16" ht="14.4" x14ac:dyDescent="0.3">
      <c r="C514" s="49" t="e">
        <f>VLOOKUP(B514,DAY!$C$2:$D$7,2,FALSE)</f>
        <v>#N/A</v>
      </c>
      <c r="D514" s="17"/>
      <c r="G514"/>
      <c r="H514"/>
      <c r="I514" s="52">
        <f t="shared" si="156"/>
        <v>1</v>
      </c>
      <c r="K514" s="52" t="str">
        <f t="shared" si="157"/>
        <v xml:space="preserve">-  </v>
      </c>
      <c r="L514" s="52" t="str">
        <f t="shared" si="158"/>
        <v xml:space="preserve"> --</v>
      </c>
      <c r="M514" s="52" t="str">
        <f t="shared" si="159"/>
        <v>- -</v>
      </c>
      <c r="N514" s="19"/>
      <c r="O514" s="52" t="e">
        <f t="shared" si="154"/>
        <v>#N/A</v>
      </c>
      <c r="P514" s="52" t="e">
        <f t="shared" si="155"/>
        <v>#N/A</v>
      </c>
    </row>
    <row r="515" spans="3:16" ht="14.4" x14ac:dyDescent="0.3">
      <c r="C515" s="49" t="e">
        <f>VLOOKUP(B515,DAY!$C$2:$D$7,2,FALSE)</f>
        <v>#N/A</v>
      </c>
      <c r="D515" s="17"/>
      <c r="G515"/>
      <c r="H515"/>
      <c r="I515" s="52">
        <f t="shared" si="156"/>
        <v>1</v>
      </c>
      <c r="K515" s="52" t="str">
        <f t="shared" si="157"/>
        <v xml:space="preserve">-  </v>
      </c>
      <c r="L515" s="52" t="str">
        <f t="shared" si="158"/>
        <v xml:space="preserve"> --</v>
      </c>
      <c r="M515" s="52" t="str">
        <f t="shared" si="159"/>
        <v>- -</v>
      </c>
      <c r="N515" s="19"/>
      <c r="O515" s="52" t="e">
        <f t="shared" si="154"/>
        <v>#N/A</v>
      </c>
      <c r="P515" s="52" t="e">
        <f t="shared" si="155"/>
        <v>#N/A</v>
      </c>
    </row>
    <row r="516" spans="3:16" ht="14.4" x14ac:dyDescent="0.3">
      <c r="C516" s="49" t="e">
        <f>VLOOKUP(B516,DAY!$C$2:$D$7,2,FALSE)</f>
        <v>#N/A</v>
      </c>
      <c r="D516" s="17"/>
      <c r="G516"/>
      <c r="H516"/>
      <c r="I516" s="52">
        <f t="shared" si="156"/>
        <v>1</v>
      </c>
      <c r="K516" s="52" t="str">
        <f t="shared" si="157"/>
        <v xml:space="preserve">-  </v>
      </c>
      <c r="L516" s="52" t="str">
        <f t="shared" si="158"/>
        <v xml:space="preserve"> --</v>
      </c>
      <c r="M516" s="52" t="str">
        <f t="shared" si="159"/>
        <v>- -</v>
      </c>
      <c r="N516" s="19"/>
      <c r="O516" s="52" t="e">
        <f t="shared" si="154"/>
        <v>#N/A</v>
      </c>
      <c r="P516" s="52" t="e">
        <f t="shared" si="155"/>
        <v>#N/A</v>
      </c>
    </row>
    <row r="517" spans="3:16" ht="14.4" x14ac:dyDescent="0.3">
      <c r="C517" s="49" t="e">
        <f>VLOOKUP(B517,DAY!$C$2:$D$7,2,FALSE)</f>
        <v>#N/A</v>
      </c>
      <c r="D517" s="17"/>
      <c r="G517"/>
      <c r="H517"/>
      <c r="I517" s="52">
        <f t="shared" si="156"/>
        <v>1</v>
      </c>
      <c r="K517" s="52" t="str">
        <f t="shared" si="157"/>
        <v xml:space="preserve">-  </v>
      </c>
      <c r="L517" s="52" t="str">
        <f t="shared" si="158"/>
        <v xml:space="preserve"> --</v>
      </c>
      <c r="M517" s="52" t="str">
        <f t="shared" si="159"/>
        <v>- -</v>
      </c>
      <c r="N517" s="19"/>
      <c r="O517" s="52" t="e">
        <f t="shared" si="154"/>
        <v>#N/A</v>
      </c>
      <c r="P517" s="52" t="e">
        <f t="shared" si="155"/>
        <v>#N/A</v>
      </c>
    </row>
    <row r="518" spans="3:16" ht="14.4" x14ac:dyDescent="0.3">
      <c r="C518" s="49" t="e">
        <f>VLOOKUP(B518,DAY!$C$2:$D$7,2,FALSE)</f>
        <v>#N/A</v>
      </c>
      <c r="D518" s="17"/>
      <c r="G518"/>
      <c r="H518"/>
      <c r="I518" s="52">
        <f t="shared" si="156"/>
        <v>1</v>
      </c>
      <c r="K518" s="52" t="str">
        <f t="shared" si="157"/>
        <v xml:space="preserve">-  </v>
      </c>
      <c r="L518" s="52" t="str">
        <f t="shared" si="158"/>
        <v xml:space="preserve"> --</v>
      </c>
      <c r="M518" s="52" t="str">
        <f t="shared" si="159"/>
        <v>- -</v>
      </c>
      <c r="N518" s="19"/>
      <c r="O518" s="52" t="e">
        <f t="shared" si="154"/>
        <v>#N/A</v>
      </c>
      <c r="P518" s="52" t="e">
        <f t="shared" si="155"/>
        <v>#N/A</v>
      </c>
    </row>
    <row r="519" spans="3:16" ht="14.4" x14ac:dyDescent="0.3">
      <c r="C519" s="49" t="e">
        <f>VLOOKUP(B519,DAY!$C$2:$D$7,2,FALSE)</f>
        <v>#N/A</v>
      </c>
      <c r="D519" s="17"/>
      <c r="G519"/>
      <c r="H519"/>
      <c r="I519" s="52">
        <f t="shared" si="156"/>
        <v>1</v>
      </c>
      <c r="K519" s="52" t="str">
        <f t="shared" si="157"/>
        <v xml:space="preserve">-  </v>
      </c>
      <c r="L519" s="52" t="str">
        <f t="shared" si="158"/>
        <v xml:space="preserve"> --</v>
      </c>
      <c r="M519" s="52" t="str">
        <f t="shared" si="159"/>
        <v>- -</v>
      </c>
      <c r="N519" s="19"/>
      <c r="O519" s="52" t="e">
        <f t="shared" si="154"/>
        <v>#N/A</v>
      </c>
      <c r="P519" s="52" t="e">
        <f t="shared" si="155"/>
        <v>#N/A</v>
      </c>
    </row>
    <row r="520" spans="3:16" ht="14.4" x14ac:dyDescent="0.3">
      <c r="C520" s="49" t="e">
        <f>VLOOKUP(B520,DAY!$C$2:$D$7,2,FALSE)</f>
        <v>#N/A</v>
      </c>
      <c r="D520" s="17"/>
      <c r="G520"/>
      <c r="H520"/>
      <c r="I520" s="52">
        <f t="shared" ref="I520" si="160">IF(H520="",1,2)</f>
        <v>1</v>
      </c>
      <c r="K520" s="52" t="str">
        <f t="shared" ref="K520" si="161">E520&amp;"-"&amp;A520&amp;" "&amp;H520&amp;" "&amp;G520</f>
        <v xml:space="preserve">-  </v>
      </c>
      <c r="L520" s="52" t="str">
        <f t="shared" ref="L520" si="162">H520&amp;" "&amp;E520&amp;"-"&amp;F520&amp;"-"&amp;G520</f>
        <v xml:space="preserve"> --</v>
      </c>
      <c r="M520" s="52" t="str">
        <f t="shared" ref="M520" si="163">A520&amp;"-"&amp;H520&amp;" "&amp;E520&amp;"-"&amp;F520</f>
        <v>- -</v>
      </c>
      <c r="N520" s="19"/>
      <c r="O520" s="52" t="e">
        <f t="shared" si="154"/>
        <v>#N/A</v>
      </c>
      <c r="P520" s="52" t="e">
        <f t="shared" si="155"/>
        <v>#N/A</v>
      </c>
    </row>
    <row r="521" spans="3:16" ht="14.4" x14ac:dyDescent="0.3">
      <c r="C521" s="49" t="e">
        <f>VLOOKUP(B521,DAY!$C$2:$D$7,2,FALSE)</f>
        <v>#N/A</v>
      </c>
      <c r="D521" s="17"/>
      <c r="G521"/>
      <c r="H521"/>
      <c r="I521" s="52">
        <f t="shared" si="156"/>
        <v>1</v>
      </c>
      <c r="K521" s="52" t="str">
        <f t="shared" si="157"/>
        <v xml:space="preserve">-  </v>
      </c>
      <c r="L521" s="52" t="str">
        <f t="shared" si="158"/>
        <v xml:space="preserve"> --</v>
      </c>
      <c r="M521" s="52" t="str">
        <f t="shared" si="159"/>
        <v>- -</v>
      </c>
      <c r="N521" s="19"/>
      <c r="O521" s="52" t="e">
        <f t="shared" si="154"/>
        <v>#N/A</v>
      </c>
      <c r="P521" s="52" t="e">
        <f t="shared" si="155"/>
        <v>#N/A</v>
      </c>
    </row>
    <row r="522" spans="3:16" ht="14.4" x14ac:dyDescent="0.3">
      <c r="C522" s="49" t="e">
        <f>VLOOKUP(B522,DAY!$C$2:$D$7,2,FALSE)</f>
        <v>#N/A</v>
      </c>
      <c r="D522" s="17"/>
      <c r="G522"/>
      <c r="H522"/>
      <c r="I522" s="52">
        <f t="shared" si="156"/>
        <v>1</v>
      </c>
      <c r="K522" s="52" t="str">
        <f t="shared" si="157"/>
        <v xml:space="preserve">-  </v>
      </c>
      <c r="L522" s="52" t="str">
        <f t="shared" si="158"/>
        <v xml:space="preserve"> --</v>
      </c>
      <c r="M522" s="52" t="str">
        <f t="shared" si="159"/>
        <v>- -</v>
      </c>
      <c r="N522" s="19"/>
      <c r="O522" s="52" t="e">
        <f t="shared" si="154"/>
        <v>#N/A</v>
      </c>
      <c r="P522" s="52" t="e">
        <f t="shared" si="155"/>
        <v>#N/A</v>
      </c>
    </row>
    <row r="523" spans="3:16" ht="14.4" x14ac:dyDescent="0.3">
      <c r="C523" s="49" t="e">
        <f>VLOOKUP(B523,DAY!$C$2:$D$7,2,FALSE)</f>
        <v>#N/A</v>
      </c>
      <c r="D523" s="17"/>
      <c r="G523"/>
      <c r="H523"/>
      <c r="I523" s="52">
        <f t="shared" si="156"/>
        <v>1</v>
      </c>
      <c r="K523" s="52" t="str">
        <f t="shared" si="157"/>
        <v xml:space="preserve">-  </v>
      </c>
      <c r="L523" s="52" t="str">
        <f t="shared" si="158"/>
        <v xml:space="preserve"> --</v>
      </c>
      <c r="M523" s="52" t="str">
        <f t="shared" si="159"/>
        <v>- -</v>
      </c>
      <c r="N523" s="19"/>
      <c r="O523" s="52" t="e">
        <f t="shared" si="154"/>
        <v>#N/A</v>
      </c>
      <c r="P523" s="52" t="e">
        <f t="shared" si="155"/>
        <v>#N/A</v>
      </c>
    </row>
    <row r="524" spans="3:16" ht="14.4" x14ac:dyDescent="0.3">
      <c r="C524" s="49" t="e">
        <f>VLOOKUP(B524,DAY!$C$2:$D$7,2,FALSE)</f>
        <v>#N/A</v>
      </c>
      <c r="D524" s="17"/>
      <c r="G524"/>
      <c r="H524"/>
      <c r="I524" s="52">
        <f t="shared" ref="I524:I525" si="164">IF(H524="",1,2)</f>
        <v>1</v>
      </c>
      <c r="K524" s="52" t="str">
        <f t="shared" ref="K524:K525" si="165">E524&amp;"-"&amp;A524&amp;" "&amp;H524&amp;" "&amp;G524</f>
        <v xml:space="preserve">-  </v>
      </c>
      <c r="L524" s="52" t="str">
        <f t="shared" ref="L524:L525" si="166">H524&amp;" "&amp;E524&amp;"-"&amp;F524&amp;"-"&amp;G524</f>
        <v xml:space="preserve"> --</v>
      </c>
      <c r="M524" s="52" t="str">
        <f t="shared" ref="M524:M525" si="167">A524&amp;"-"&amp;H524&amp;" "&amp;E524&amp;"-"&amp;F524</f>
        <v>- -</v>
      </c>
      <c r="N524" s="19"/>
      <c r="O524" s="52" t="e">
        <f t="shared" si="154"/>
        <v>#N/A</v>
      </c>
      <c r="P524" s="52" t="e">
        <f t="shared" si="155"/>
        <v>#N/A</v>
      </c>
    </row>
    <row r="525" spans="3:16" ht="14.4" x14ac:dyDescent="0.3">
      <c r="C525" s="49" t="e">
        <f>VLOOKUP(B525,DAY!$C$2:$D$7,2,FALSE)</f>
        <v>#N/A</v>
      </c>
      <c r="D525" s="17"/>
      <c r="G525"/>
      <c r="H525"/>
      <c r="I525" s="52">
        <f t="shared" si="164"/>
        <v>1</v>
      </c>
      <c r="K525" s="52" t="str">
        <f t="shared" si="165"/>
        <v xml:space="preserve">-  </v>
      </c>
      <c r="L525" s="52" t="str">
        <f t="shared" si="166"/>
        <v xml:space="preserve"> --</v>
      </c>
      <c r="M525" s="52" t="str">
        <f t="shared" si="167"/>
        <v>- -</v>
      </c>
      <c r="N525" s="19"/>
      <c r="O525" s="52" t="e">
        <f t="shared" ref="O525" si="168">C525&amp;D525&amp;F525</f>
        <v>#N/A</v>
      </c>
      <c r="P525" s="52" t="e">
        <f t="shared" ref="P525" si="169">C525&amp;D525&amp;G525</f>
        <v>#N/A</v>
      </c>
    </row>
    <row r="526" spans="3:16" ht="14.4" x14ac:dyDescent="0.3">
      <c r="C526" s="49" t="e">
        <f>VLOOKUP(B526,DAY!$C$2:$D$7,2,FALSE)</f>
        <v>#N/A</v>
      </c>
      <c r="D526" s="17"/>
      <c r="G526"/>
      <c r="H526"/>
      <c r="I526" s="52">
        <f t="shared" si="156"/>
        <v>1</v>
      </c>
      <c r="K526" s="52" t="str">
        <f t="shared" si="157"/>
        <v xml:space="preserve">-  </v>
      </c>
      <c r="L526" s="52" t="str">
        <f t="shared" si="158"/>
        <v xml:space="preserve"> --</v>
      </c>
      <c r="M526" s="52" t="str">
        <f t="shared" si="159"/>
        <v>- -</v>
      </c>
      <c r="N526" s="19"/>
      <c r="O526" s="52" t="e">
        <f t="shared" si="154"/>
        <v>#N/A</v>
      </c>
      <c r="P526" s="52" t="e">
        <f t="shared" si="155"/>
        <v>#N/A</v>
      </c>
    </row>
    <row r="527" spans="3:16" ht="14.4" x14ac:dyDescent="0.3">
      <c r="C527" s="49" t="e">
        <f>VLOOKUP(B527,DAY!$C$2:$D$7,2,FALSE)</f>
        <v>#N/A</v>
      </c>
      <c r="D527" s="17"/>
      <c r="G527"/>
      <c r="H527"/>
      <c r="I527" s="52">
        <f t="shared" si="156"/>
        <v>1</v>
      </c>
      <c r="K527" s="52" t="str">
        <f t="shared" si="157"/>
        <v xml:space="preserve">-  </v>
      </c>
      <c r="L527" s="52" t="str">
        <f t="shared" si="158"/>
        <v xml:space="preserve"> --</v>
      </c>
      <c r="M527" s="52" t="str">
        <f t="shared" si="159"/>
        <v>- -</v>
      </c>
      <c r="N527" s="19"/>
      <c r="O527" s="52" t="e">
        <f t="shared" si="154"/>
        <v>#N/A</v>
      </c>
      <c r="P527" s="52" t="e">
        <f t="shared" si="155"/>
        <v>#N/A</v>
      </c>
    </row>
    <row r="528" spans="3:16" ht="14.4" x14ac:dyDescent="0.3">
      <c r="C528" s="49" t="e">
        <f>VLOOKUP(B528,DAY!$C$2:$D$7,2,FALSE)</f>
        <v>#N/A</v>
      </c>
      <c r="D528" s="17"/>
      <c r="G528"/>
      <c r="H528"/>
      <c r="I528" s="52">
        <f t="shared" si="156"/>
        <v>1</v>
      </c>
      <c r="K528" s="52" t="str">
        <f t="shared" si="157"/>
        <v xml:space="preserve">-  </v>
      </c>
      <c r="L528" s="52" t="str">
        <f t="shared" si="158"/>
        <v xml:space="preserve"> --</v>
      </c>
      <c r="M528" s="52" t="str">
        <f t="shared" si="159"/>
        <v>- -</v>
      </c>
      <c r="N528" s="19"/>
      <c r="O528" s="52" t="e">
        <f t="shared" si="154"/>
        <v>#N/A</v>
      </c>
      <c r="P528" s="52" t="e">
        <f t="shared" si="155"/>
        <v>#N/A</v>
      </c>
    </row>
    <row r="529" spans="3:16" ht="14.4" x14ac:dyDescent="0.3">
      <c r="C529" s="49" t="e">
        <f>VLOOKUP(B529,DAY!$C$2:$D$7,2,FALSE)</f>
        <v>#N/A</v>
      </c>
      <c r="D529" s="17"/>
      <c r="G529"/>
      <c r="H529"/>
      <c r="I529" s="52">
        <f t="shared" si="156"/>
        <v>1</v>
      </c>
      <c r="K529" s="52" t="str">
        <f t="shared" si="157"/>
        <v xml:space="preserve">-  </v>
      </c>
      <c r="L529" s="52" t="str">
        <f t="shared" si="158"/>
        <v xml:space="preserve"> --</v>
      </c>
      <c r="M529" s="52" t="str">
        <f t="shared" si="159"/>
        <v>- -</v>
      </c>
      <c r="N529" s="19"/>
      <c r="O529" s="52" t="e">
        <f t="shared" si="154"/>
        <v>#N/A</v>
      </c>
      <c r="P529" s="52" t="e">
        <f t="shared" si="155"/>
        <v>#N/A</v>
      </c>
    </row>
    <row r="530" spans="3:16" ht="14.4" x14ac:dyDescent="0.3">
      <c r="C530" s="49" t="e">
        <f>VLOOKUP(B530,DAY!$C$2:$D$7,2,FALSE)</f>
        <v>#N/A</v>
      </c>
      <c r="D530" s="17"/>
      <c r="G530"/>
      <c r="H530"/>
      <c r="I530" s="52">
        <f t="shared" si="156"/>
        <v>1</v>
      </c>
      <c r="K530" s="52" t="str">
        <f t="shared" si="157"/>
        <v xml:space="preserve">-  </v>
      </c>
      <c r="L530" s="52" t="str">
        <f t="shared" si="158"/>
        <v xml:space="preserve"> --</v>
      </c>
      <c r="M530" s="52" t="str">
        <f t="shared" si="159"/>
        <v>- -</v>
      </c>
      <c r="N530" s="19"/>
      <c r="O530" s="52" t="e">
        <f t="shared" si="154"/>
        <v>#N/A</v>
      </c>
      <c r="P530" s="52" t="e">
        <f t="shared" si="155"/>
        <v>#N/A</v>
      </c>
    </row>
    <row r="531" spans="3:16" ht="14.4" x14ac:dyDescent="0.3">
      <c r="C531" s="49" t="e">
        <f>VLOOKUP(B531,DAY!$C$2:$D$7,2,FALSE)</f>
        <v>#N/A</v>
      </c>
      <c r="D531" s="17"/>
      <c r="G531"/>
      <c r="H531"/>
      <c r="I531" s="52">
        <f t="shared" si="156"/>
        <v>1</v>
      </c>
      <c r="K531" s="52" t="str">
        <f t="shared" si="157"/>
        <v xml:space="preserve">-  </v>
      </c>
      <c r="L531" s="52" t="str">
        <f t="shared" si="158"/>
        <v xml:space="preserve"> --</v>
      </c>
      <c r="M531" s="52" t="str">
        <f t="shared" si="159"/>
        <v>- -</v>
      </c>
      <c r="N531" s="19"/>
      <c r="O531" s="52" t="e">
        <f t="shared" si="154"/>
        <v>#N/A</v>
      </c>
      <c r="P531" s="52" t="e">
        <f t="shared" si="155"/>
        <v>#N/A</v>
      </c>
    </row>
    <row r="532" spans="3:16" ht="14.4" x14ac:dyDescent="0.3">
      <c r="C532" s="49" t="e">
        <f>VLOOKUP(B532,DAY!$C$2:$D$7,2,FALSE)</f>
        <v>#N/A</v>
      </c>
      <c r="D532" s="17"/>
      <c r="G532"/>
      <c r="H532"/>
      <c r="I532" s="52">
        <f t="shared" ref="I532" si="170">IF(H532="",1,2)</f>
        <v>1</v>
      </c>
      <c r="K532" s="52" t="str">
        <f t="shared" ref="K532" si="171">E532&amp;"-"&amp;A532&amp;" "&amp;H532&amp;" "&amp;G532</f>
        <v xml:space="preserve">-  </v>
      </c>
      <c r="L532" s="52" t="str">
        <f t="shared" ref="L532" si="172">H532&amp;" "&amp;E532&amp;"-"&amp;F532&amp;"-"&amp;G532</f>
        <v xml:space="preserve"> --</v>
      </c>
      <c r="M532" s="52" t="str">
        <f t="shared" ref="M532" si="173">A532&amp;"-"&amp;H532&amp;" "&amp;E532&amp;"-"&amp;F532</f>
        <v>- -</v>
      </c>
      <c r="N532" s="19"/>
      <c r="O532" s="52" t="e">
        <f t="shared" ref="O532" si="174">C532&amp;D532&amp;F532</f>
        <v>#N/A</v>
      </c>
      <c r="P532" s="52" t="e">
        <f t="shared" ref="P532" si="175">C532&amp;D532&amp;G532</f>
        <v>#N/A</v>
      </c>
    </row>
    <row r="533" spans="3:16" ht="14.4" x14ac:dyDescent="0.3">
      <c r="C533" s="49" t="e">
        <f>VLOOKUP(B533,DAY!$C$2:$D$7,2,FALSE)</f>
        <v>#N/A</v>
      </c>
      <c r="D533" s="17"/>
      <c r="G533"/>
      <c r="H533"/>
      <c r="I533" s="52">
        <f t="shared" si="156"/>
        <v>1</v>
      </c>
      <c r="K533" s="52" t="str">
        <f t="shared" si="157"/>
        <v xml:space="preserve">-  </v>
      </c>
      <c r="L533" s="52" t="str">
        <f t="shared" si="158"/>
        <v xml:space="preserve"> --</v>
      </c>
      <c r="M533" s="52" t="str">
        <f t="shared" si="159"/>
        <v>- -</v>
      </c>
      <c r="N533" s="19"/>
      <c r="O533" s="52" t="e">
        <f t="shared" si="154"/>
        <v>#N/A</v>
      </c>
      <c r="P533" s="52" t="e">
        <f t="shared" si="155"/>
        <v>#N/A</v>
      </c>
    </row>
    <row r="534" spans="3:16" ht="14.4" x14ac:dyDescent="0.3">
      <c r="C534" s="49" t="e">
        <f>VLOOKUP(B534,DAY!$C$2:$D$7,2,FALSE)</f>
        <v>#N/A</v>
      </c>
      <c r="D534" s="17"/>
      <c r="G534"/>
      <c r="H534"/>
      <c r="I534" s="52">
        <f t="shared" si="156"/>
        <v>1</v>
      </c>
      <c r="K534" s="52" t="str">
        <f t="shared" si="157"/>
        <v xml:space="preserve">-  </v>
      </c>
      <c r="L534" s="52" t="str">
        <f t="shared" si="158"/>
        <v xml:space="preserve"> --</v>
      </c>
      <c r="M534" s="52" t="str">
        <f t="shared" si="159"/>
        <v>- -</v>
      </c>
      <c r="N534" s="19"/>
      <c r="O534" s="52" t="e">
        <f t="shared" si="154"/>
        <v>#N/A</v>
      </c>
      <c r="P534" s="52" t="e">
        <f t="shared" si="155"/>
        <v>#N/A</v>
      </c>
    </row>
    <row r="535" spans="3:16" ht="14.4" x14ac:dyDescent="0.3">
      <c r="C535" s="49" t="e">
        <f>VLOOKUP(B535,DAY!$C$2:$D$7,2,FALSE)</f>
        <v>#N/A</v>
      </c>
      <c r="D535" s="17"/>
      <c r="G535"/>
      <c r="H535"/>
      <c r="I535" s="52">
        <f t="shared" si="156"/>
        <v>1</v>
      </c>
      <c r="K535" s="52" t="str">
        <f t="shared" si="157"/>
        <v xml:space="preserve">-  </v>
      </c>
      <c r="L535" s="52" t="str">
        <f t="shared" si="158"/>
        <v xml:space="preserve"> --</v>
      </c>
      <c r="M535" s="52" t="str">
        <f t="shared" si="159"/>
        <v>- -</v>
      </c>
      <c r="N535" s="19"/>
      <c r="O535" s="52" t="e">
        <f t="shared" si="154"/>
        <v>#N/A</v>
      </c>
      <c r="P535" s="52" t="e">
        <f t="shared" si="155"/>
        <v>#N/A</v>
      </c>
    </row>
    <row r="536" spans="3:16" ht="14.4" x14ac:dyDescent="0.3">
      <c r="C536" s="49" t="e">
        <f>VLOOKUP(B536,DAY!$C$2:$D$7,2,FALSE)</f>
        <v>#N/A</v>
      </c>
      <c r="D536" s="17"/>
      <c r="G536"/>
      <c r="H536"/>
      <c r="I536" s="52">
        <f t="shared" si="156"/>
        <v>1</v>
      </c>
      <c r="K536" s="52" t="str">
        <f t="shared" si="157"/>
        <v xml:space="preserve">-  </v>
      </c>
      <c r="L536" s="52" t="str">
        <f t="shared" si="158"/>
        <v xml:space="preserve"> --</v>
      </c>
      <c r="M536" s="52" t="str">
        <f t="shared" si="159"/>
        <v>- -</v>
      </c>
      <c r="N536" s="19"/>
      <c r="O536" s="52" t="e">
        <f t="shared" si="154"/>
        <v>#N/A</v>
      </c>
      <c r="P536" s="52" t="e">
        <f t="shared" si="155"/>
        <v>#N/A</v>
      </c>
    </row>
    <row r="537" spans="3:16" ht="14.4" x14ac:dyDescent="0.3">
      <c r="C537" s="49" t="e">
        <f>VLOOKUP(B537,DAY!$C$2:$D$7,2,FALSE)</f>
        <v>#N/A</v>
      </c>
      <c r="D537" s="17"/>
      <c r="G537"/>
      <c r="H537"/>
      <c r="I537" s="52">
        <f t="shared" si="156"/>
        <v>1</v>
      </c>
      <c r="K537" s="52" t="str">
        <f t="shared" si="157"/>
        <v xml:space="preserve">-  </v>
      </c>
      <c r="L537" s="52" t="str">
        <f t="shared" si="158"/>
        <v xml:space="preserve"> --</v>
      </c>
      <c r="M537" s="52" t="str">
        <f t="shared" si="159"/>
        <v>- -</v>
      </c>
      <c r="N537" s="19"/>
      <c r="O537" s="52" t="e">
        <f t="shared" si="154"/>
        <v>#N/A</v>
      </c>
      <c r="P537" s="52" t="e">
        <f t="shared" si="155"/>
        <v>#N/A</v>
      </c>
    </row>
    <row r="538" spans="3:16" ht="14.4" x14ac:dyDescent="0.3">
      <c r="C538" s="49" t="e">
        <f>VLOOKUP(B538,DAY!$C$2:$D$7,2,FALSE)</f>
        <v>#N/A</v>
      </c>
      <c r="D538" s="17"/>
      <c r="G538"/>
      <c r="H538"/>
      <c r="I538" s="52">
        <f t="shared" si="156"/>
        <v>1</v>
      </c>
      <c r="K538" s="52" t="str">
        <f t="shared" si="157"/>
        <v xml:space="preserve">-  </v>
      </c>
      <c r="L538" s="52" t="str">
        <f t="shared" si="158"/>
        <v xml:space="preserve"> --</v>
      </c>
      <c r="M538" s="52" t="str">
        <f t="shared" si="159"/>
        <v>- -</v>
      </c>
      <c r="N538" s="19"/>
      <c r="O538" s="52" t="e">
        <f t="shared" si="154"/>
        <v>#N/A</v>
      </c>
      <c r="P538" s="52" t="e">
        <f t="shared" si="155"/>
        <v>#N/A</v>
      </c>
    </row>
    <row r="539" spans="3:16" ht="14.4" x14ac:dyDescent="0.3">
      <c r="C539" s="49" t="e">
        <f>VLOOKUP(B539,DAY!$C$2:$D$7,2,FALSE)</f>
        <v>#N/A</v>
      </c>
      <c r="D539" s="17"/>
      <c r="G539"/>
      <c r="H539"/>
      <c r="I539" s="52">
        <f t="shared" ref="I539" si="176">IF(H539="",1,2)</f>
        <v>1</v>
      </c>
      <c r="K539" s="52" t="str">
        <f t="shared" ref="K539" si="177">E539&amp;"-"&amp;A539&amp;" "&amp;H539&amp;" "&amp;G539</f>
        <v xml:space="preserve">-  </v>
      </c>
      <c r="L539" s="52" t="str">
        <f t="shared" ref="L539" si="178">H539&amp;" "&amp;E539&amp;"-"&amp;F539&amp;"-"&amp;G539</f>
        <v xml:space="preserve"> --</v>
      </c>
      <c r="M539" s="52" t="str">
        <f t="shared" ref="M539" si="179">A539&amp;"-"&amp;H539&amp;" "&amp;E539&amp;"-"&amp;F539</f>
        <v>- -</v>
      </c>
      <c r="N539" s="19"/>
      <c r="O539" s="52" t="e">
        <f t="shared" si="154"/>
        <v>#N/A</v>
      </c>
      <c r="P539" s="52" t="e">
        <f t="shared" si="155"/>
        <v>#N/A</v>
      </c>
    </row>
    <row r="540" spans="3:16" ht="14.4" x14ac:dyDescent="0.3">
      <c r="C540" s="49" t="e">
        <f>VLOOKUP(B540,DAY!$C$2:$D$7,2,FALSE)</f>
        <v>#N/A</v>
      </c>
      <c r="D540" s="17"/>
      <c r="G540"/>
      <c r="H540"/>
      <c r="I540" s="52">
        <f t="shared" si="156"/>
        <v>1</v>
      </c>
      <c r="K540" s="52" t="str">
        <f t="shared" si="157"/>
        <v xml:space="preserve">-  </v>
      </c>
      <c r="L540" s="52" t="str">
        <f t="shared" si="158"/>
        <v xml:space="preserve"> --</v>
      </c>
      <c r="M540" s="52" t="str">
        <f t="shared" si="159"/>
        <v>- -</v>
      </c>
      <c r="N540" s="19"/>
      <c r="O540" s="52" t="e">
        <f t="shared" si="154"/>
        <v>#N/A</v>
      </c>
      <c r="P540" s="52" t="e">
        <f t="shared" si="155"/>
        <v>#N/A</v>
      </c>
    </row>
    <row r="541" spans="3:16" ht="14.4" x14ac:dyDescent="0.3">
      <c r="C541" s="49" t="e">
        <f>VLOOKUP(B541,DAY!$C$2:$D$7,2,FALSE)</f>
        <v>#N/A</v>
      </c>
      <c r="D541" s="17"/>
      <c r="G541"/>
      <c r="H541"/>
      <c r="I541" s="52">
        <f t="shared" si="156"/>
        <v>1</v>
      </c>
      <c r="K541" s="52" t="str">
        <f t="shared" si="157"/>
        <v xml:space="preserve">-  </v>
      </c>
      <c r="L541" s="52" t="str">
        <f t="shared" si="158"/>
        <v xml:space="preserve"> --</v>
      </c>
      <c r="M541" s="52" t="str">
        <f t="shared" si="159"/>
        <v>- -</v>
      </c>
      <c r="N541" s="19"/>
      <c r="O541" s="52" t="e">
        <f t="shared" ref="O541:O564" si="180">C541&amp;D541&amp;F541</f>
        <v>#N/A</v>
      </c>
      <c r="P541" s="52" t="e">
        <f t="shared" ref="P541:P564" si="181">C541&amp;D541&amp;G541</f>
        <v>#N/A</v>
      </c>
    </row>
    <row r="542" spans="3:16" ht="14.4" x14ac:dyDescent="0.3">
      <c r="C542" s="49" t="e">
        <f>VLOOKUP(B542,DAY!$C$2:$D$7,2,FALSE)</f>
        <v>#N/A</v>
      </c>
      <c r="D542" s="17"/>
      <c r="G542"/>
      <c r="H542" s="19"/>
      <c r="I542" s="52">
        <f t="shared" si="156"/>
        <v>1</v>
      </c>
      <c r="K542" s="52" t="str">
        <f t="shared" si="157"/>
        <v xml:space="preserve">-  </v>
      </c>
      <c r="L542" s="52" t="str">
        <f t="shared" si="158"/>
        <v xml:space="preserve"> --</v>
      </c>
      <c r="M542" s="52" t="str">
        <f t="shared" si="159"/>
        <v>- -</v>
      </c>
      <c r="N542" s="19"/>
      <c r="O542" s="52" t="e">
        <f t="shared" si="180"/>
        <v>#N/A</v>
      </c>
      <c r="P542" s="52" t="e">
        <f t="shared" si="181"/>
        <v>#N/A</v>
      </c>
    </row>
    <row r="543" spans="3:16" ht="14.4" x14ac:dyDescent="0.3">
      <c r="C543" s="49" t="e">
        <f>VLOOKUP(B543,DAY!$C$2:$D$7,2,FALSE)</f>
        <v>#N/A</v>
      </c>
      <c r="D543" s="17"/>
      <c r="G543"/>
      <c r="H543" s="19"/>
      <c r="I543" s="52">
        <f t="shared" si="156"/>
        <v>1</v>
      </c>
      <c r="K543" s="52" t="str">
        <f>E544&amp;"-"&amp;A543&amp;" "&amp;H543&amp;" "&amp;G543</f>
        <v xml:space="preserve">-  </v>
      </c>
      <c r="L543" s="52" t="str">
        <f>H543&amp;" "&amp;E544&amp;"-"&amp;F543&amp;"-"&amp;G543</f>
        <v xml:space="preserve"> --</v>
      </c>
      <c r="M543" s="52" t="str">
        <f>A543&amp;"-"&amp;H543&amp;" "&amp;E544&amp;"-"&amp;F543</f>
        <v>- -</v>
      </c>
      <c r="N543" s="19"/>
      <c r="O543" s="52" t="e">
        <f t="shared" si="180"/>
        <v>#N/A</v>
      </c>
      <c r="P543" s="52" t="e">
        <f t="shared" si="181"/>
        <v>#N/A</v>
      </c>
    </row>
    <row r="544" spans="3:16" ht="14.4" x14ac:dyDescent="0.3">
      <c r="C544" s="49" t="e">
        <f>VLOOKUP(B544,DAY!$C$2:$D$7,2,FALSE)</f>
        <v>#N/A</v>
      </c>
      <c r="D544" s="17"/>
      <c r="G544"/>
      <c r="H544" s="19"/>
      <c r="I544" s="52">
        <v>1</v>
      </c>
      <c r="K544" s="52" t="str">
        <f>E545&amp;"-"&amp;A544&amp;" "&amp;H544&amp;" "&amp;G544</f>
        <v xml:space="preserve">-  </v>
      </c>
      <c r="L544" s="52" t="str">
        <f>H544&amp;" "&amp;E545&amp;"-"&amp;F544&amp;"-"&amp;G544</f>
        <v xml:space="preserve"> --</v>
      </c>
      <c r="M544" s="52" t="str">
        <f>A544&amp;"-"&amp;H544&amp;" "&amp;E545&amp;"-"&amp;F544</f>
        <v>- -</v>
      </c>
      <c r="N544" s="19"/>
      <c r="O544" s="52" t="e">
        <f t="shared" si="180"/>
        <v>#N/A</v>
      </c>
      <c r="P544" s="52" t="e">
        <f t="shared" si="181"/>
        <v>#N/A</v>
      </c>
    </row>
    <row r="545" spans="3:16" ht="14.4" x14ac:dyDescent="0.3">
      <c r="C545" s="49" t="e">
        <f>VLOOKUP(B545,DAY!$C$2:$D$7,2,FALSE)</f>
        <v>#N/A</v>
      </c>
      <c r="D545" s="17"/>
      <c r="G545"/>
      <c r="H545" s="19"/>
      <c r="I545" s="52">
        <v>2</v>
      </c>
      <c r="K545" s="52" t="str">
        <f>E546&amp;"-"&amp;A545&amp;" "&amp;H545&amp;" "&amp;G545</f>
        <v xml:space="preserve">-  </v>
      </c>
      <c r="L545" s="52" t="str">
        <f>H545&amp;" "&amp;E546&amp;"-"&amp;F545&amp;"-"&amp;G545</f>
        <v xml:space="preserve"> --</v>
      </c>
      <c r="M545" s="52" t="str">
        <f>A545&amp;"-"&amp;H545&amp;" "&amp;E546&amp;"-"&amp;F545</f>
        <v>- -</v>
      </c>
      <c r="N545" s="19"/>
      <c r="O545" s="52" t="e">
        <f t="shared" si="180"/>
        <v>#N/A</v>
      </c>
      <c r="P545" s="52" t="e">
        <f t="shared" si="181"/>
        <v>#N/A</v>
      </c>
    </row>
    <row r="546" spans="3:16" ht="14.4" x14ac:dyDescent="0.3">
      <c r="C546" s="49" t="e">
        <f>VLOOKUP(B546,DAY!$C$2:$D$7,2,FALSE)</f>
        <v>#N/A</v>
      </c>
      <c r="D546" s="17"/>
      <c r="G546"/>
      <c r="H546" s="19"/>
      <c r="I546" s="52">
        <v>2</v>
      </c>
      <c r="K546" s="52" t="str">
        <f>E547&amp;"-"&amp;A546&amp;" "&amp;H546&amp;" "&amp;G546</f>
        <v xml:space="preserve">-  </v>
      </c>
      <c r="L546" s="52" t="str">
        <f>H546&amp;" "&amp;E547&amp;"-"&amp;F546&amp;"-"&amp;G546</f>
        <v xml:space="preserve"> --</v>
      </c>
      <c r="M546" s="52" t="str">
        <f>A546&amp;"-"&amp;H546&amp;" "&amp;E547&amp;"-"&amp;F546</f>
        <v>- -</v>
      </c>
      <c r="N546" s="19"/>
      <c r="O546" s="52" t="e">
        <f t="shared" ref="O546" si="182">C546&amp;D546&amp;F546</f>
        <v>#N/A</v>
      </c>
      <c r="P546" s="52" t="e">
        <f t="shared" ref="P546" si="183">C546&amp;D546&amp;G546</f>
        <v>#N/A</v>
      </c>
    </row>
    <row r="547" spans="3:16" ht="14.4" x14ac:dyDescent="0.3">
      <c r="C547" s="49" t="e">
        <f>VLOOKUP(B547,DAY!$C$2:$D$7,2,FALSE)</f>
        <v>#N/A</v>
      </c>
      <c r="D547" s="17"/>
      <c r="G547"/>
      <c r="H547"/>
      <c r="I547" s="52">
        <f t="shared" ref="I547" si="184">IF(H547="",1,2)</f>
        <v>1</v>
      </c>
      <c r="K547" s="52" t="str">
        <f t="shared" ref="K547" si="185">E547&amp;"-"&amp;A547&amp;" "&amp;H547&amp;" "&amp;G547</f>
        <v xml:space="preserve">-  </v>
      </c>
      <c r="L547" s="52" t="str">
        <f t="shared" ref="L547" si="186">H547&amp;" "&amp;E547&amp;"-"&amp;F547&amp;"-"&amp;G547</f>
        <v xml:space="preserve"> --</v>
      </c>
      <c r="M547" s="52" t="str">
        <f t="shared" ref="M547" si="187">A547&amp;"-"&amp;H547&amp;" "&amp;E547&amp;"-"&amp;F547</f>
        <v>- -</v>
      </c>
      <c r="N547" s="19"/>
      <c r="O547" s="52" t="e">
        <f t="shared" si="180"/>
        <v>#N/A</v>
      </c>
      <c r="P547" s="52" t="e">
        <f t="shared" si="181"/>
        <v>#N/A</v>
      </c>
    </row>
    <row r="548" spans="3:16" ht="14.4" x14ac:dyDescent="0.3">
      <c r="C548" s="49" t="e">
        <f>VLOOKUP(B548,DAY!$C$2:$D$7,2,FALSE)</f>
        <v>#N/A</v>
      </c>
      <c r="D548" s="17"/>
      <c r="G548"/>
      <c r="H548"/>
      <c r="I548" s="52">
        <f t="shared" ref="I548" si="188">IF(H548="",1,2)</f>
        <v>1</v>
      </c>
      <c r="K548" s="52" t="str">
        <f t="shared" ref="K548" si="189">E548&amp;"-"&amp;A548&amp;" "&amp;H548&amp;" "&amp;G548</f>
        <v xml:space="preserve">-  </v>
      </c>
      <c r="L548" s="52" t="str">
        <f t="shared" ref="L548" si="190">H548&amp;" "&amp;E548&amp;"-"&amp;F548&amp;"-"&amp;G548</f>
        <v xml:space="preserve"> --</v>
      </c>
      <c r="M548" s="52" t="str">
        <f t="shared" ref="M548" si="191">A548&amp;"-"&amp;H548&amp;" "&amp;E548&amp;"-"&amp;F548</f>
        <v>- -</v>
      </c>
      <c r="N548" s="19"/>
      <c r="O548" s="52" t="e">
        <f t="shared" si="180"/>
        <v>#N/A</v>
      </c>
      <c r="P548" s="52" t="e">
        <f t="shared" si="181"/>
        <v>#N/A</v>
      </c>
    </row>
    <row r="549" spans="3:16" ht="14.4" x14ac:dyDescent="0.3">
      <c r="C549" s="49" t="e">
        <f>VLOOKUP(B549,DAY!$C$2:$D$7,2,FALSE)</f>
        <v>#N/A</v>
      </c>
      <c r="D549" s="17"/>
      <c r="G549"/>
      <c r="H549" s="19"/>
      <c r="I549" s="52">
        <f t="shared" ref="I549" si="192">IF(H549="",1,2)</f>
        <v>1</v>
      </c>
      <c r="K549" s="52" t="str">
        <f t="shared" ref="K549" si="193">E549&amp;"-"&amp;A549&amp;" "&amp;H549&amp;" "&amp;G549</f>
        <v xml:space="preserve">-  </v>
      </c>
      <c r="L549" s="52" t="str">
        <f t="shared" ref="L549" si="194">H549&amp;" "&amp;E549&amp;"-"&amp;F549&amp;"-"&amp;G549</f>
        <v xml:space="preserve"> --</v>
      </c>
      <c r="M549" s="52" t="str">
        <f t="shared" ref="M549" si="195">A549&amp;"-"&amp;H549&amp;" "&amp;E549&amp;"-"&amp;F549</f>
        <v>- -</v>
      </c>
      <c r="N549" s="19"/>
      <c r="O549" s="52" t="e">
        <f t="shared" si="180"/>
        <v>#N/A</v>
      </c>
      <c r="P549" s="52" t="e">
        <f t="shared" si="181"/>
        <v>#N/A</v>
      </c>
    </row>
    <row r="550" spans="3:16" ht="14.4" x14ac:dyDescent="0.3">
      <c r="C550" s="49" t="e">
        <f>VLOOKUP(B550,DAY!$C$2:$D$7,2,FALSE)</f>
        <v>#N/A</v>
      </c>
      <c r="D550" s="17"/>
      <c r="G550"/>
      <c r="H550" s="19"/>
      <c r="I550" s="52">
        <f t="shared" ref="I550:I562" si="196">IF(H550="",1,2)</f>
        <v>1</v>
      </c>
      <c r="K550" s="52" t="str">
        <f t="shared" ref="K550:K562" si="197">E550&amp;"-"&amp;A550&amp;" "&amp;H550&amp;" "&amp;G550</f>
        <v xml:space="preserve">-  </v>
      </c>
      <c r="L550" s="52" t="str">
        <f t="shared" ref="L550:L562" si="198">H550&amp;" "&amp;E550&amp;"-"&amp;F550&amp;"-"&amp;G550</f>
        <v xml:space="preserve"> --</v>
      </c>
      <c r="M550" s="52" t="str">
        <f t="shared" ref="M550:M562" si="199">A550&amp;"-"&amp;H550&amp;" "&amp;E550&amp;"-"&amp;F550</f>
        <v>- -</v>
      </c>
      <c r="N550" s="19"/>
      <c r="O550" s="52" t="e">
        <f t="shared" si="180"/>
        <v>#N/A</v>
      </c>
      <c r="P550" s="52" t="e">
        <f t="shared" si="181"/>
        <v>#N/A</v>
      </c>
    </row>
    <row r="551" spans="3:16" ht="14.4" x14ac:dyDescent="0.3">
      <c r="C551" s="49" t="e">
        <f>VLOOKUP(B551,DAY!$C$2:$D$7,2,FALSE)</f>
        <v>#N/A</v>
      </c>
      <c r="D551" s="17"/>
      <c r="G551"/>
      <c r="H551"/>
      <c r="I551" s="52">
        <f t="shared" si="196"/>
        <v>1</v>
      </c>
      <c r="K551" s="52" t="str">
        <f t="shared" si="197"/>
        <v xml:space="preserve">-  </v>
      </c>
      <c r="L551" s="52" t="str">
        <f t="shared" si="198"/>
        <v xml:space="preserve"> --</v>
      </c>
      <c r="M551" s="52" t="str">
        <f t="shared" si="199"/>
        <v>- -</v>
      </c>
      <c r="N551" s="19"/>
      <c r="O551" s="52" t="e">
        <f t="shared" si="180"/>
        <v>#N/A</v>
      </c>
      <c r="P551" s="52" t="e">
        <f t="shared" si="181"/>
        <v>#N/A</v>
      </c>
    </row>
    <row r="552" spans="3:16" ht="14.4" x14ac:dyDescent="0.3">
      <c r="C552" s="49" t="e">
        <f>VLOOKUP(B552,DAY!$C$2:$D$7,2,FALSE)</f>
        <v>#N/A</v>
      </c>
      <c r="D552" s="17"/>
      <c r="G552"/>
      <c r="H552"/>
      <c r="I552" s="52">
        <f t="shared" si="196"/>
        <v>1</v>
      </c>
      <c r="K552" s="52" t="str">
        <f t="shared" si="197"/>
        <v xml:space="preserve">-  </v>
      </c>
      <c r="L552" s="52" t="str">
        <f t="shared" si="198"/>
        <v xml:space="preserve"> --</v>
      </c>
      <c r="M552" s="52" t="str">
        <f t="shared" si="199"/>
        <v>- -</v>
      </c>
      <c r="N552" s="19"/>
      <c r="O552" s="52" t="e">
        <f t="shared" si="180"/>
        <v>#N/A</v>
      </c>
      <c r="P552" s="52" t="e">
        <f t="shared" si="181"/>
        <v>#N/A</v>
      </c>
    </row>
    <row r="553" spans="3:16" ht="14.4" x14ac:dyDescent="0.3">
      <c r="C553" s="49" t="e">
        <f>VLOOKUP(B553,DAY!$C$2:$D$7,2,FALSE)</f>
        <v>#N/A</v>
      </c>
      <c r="D553" s="17"/>
      <c r="G553"/>
      <c r="H553"/>
      <c r="I553" s="52">
        <f t="shared" si="196"/>
        <v>1</v>
      </c>
      <c r="K553" s="52" t="str">
        <f t="shared" si="197"/>
        <v xml:space="preserve">-  </v>
      </c>
      <c r="L553" s="52" t="str">
        <f t="shared" si="198"/>
        <v xml:space="preserve"> --</v>
      </c>
      <c r="M553" s="52" t="str">
        <f t="shared" si="199"/>
        <v>- -</v>
      </c>
      <c r="N553" s="19"/>
      <c r="O553" s="52" t="e">
        <f t="shared" si="180"/>
        <v>#N/A</v>
      </c>
      <c r="P553" s="52" t="e">
        <f t="shared" si="181"/>
        <v>#N/A</v>
      </c>
    </row>
    <row r="554" spans="3:16" ht="14.4" x14ac:dyDescent="0.3">
      <c r="C554" s="49" t="e">
        <f>VLOOKUP(B554,DAY!$C$2:$D$7,2,FALSE)</f>
        <v>#N/A</v>
      </c>
      <c r="D554" s="17"/>
      <c r="G554"/>
      <c r="H554"/>
      <c r="I554" s="52">
        <f t="shared" si="196"/>
        <v>1</v>
      </c>
      <c r="K554" s="52" t="str">
        <f t="shared" si="197"/>
        <v xml:space="preserve">-  </v>
      </c>
      <c r="L554" s="52" t="str">
        <f t="shared" si="198"/>
        <v xml:space="preserve"> --</v>
      </c>
      <c r="M554" s="52" t="str">
        <f t="shared" si="199"/>
        <v>- -</v>
      </c>
      <c r="N554" s="19"/>
      <c r="O554" s="52" t="e">
        <f t="shared" si="180"/>
        <v>#N/A</v>
      </c>
      <c r="P554" s="52" t="e">
        <f t="shared" si="181"/>
        <v>#N/A</v>
      </c>
    </row>
    <row r="555" spans="3:16" ht="14.4" x14ac:dyDescent="0.3">
      <c r="C555" s="49" t="e">
        <f>VLOOKUP(B555,DAY!$C$2:$D$7,2,FALSE)</f>
        <v>#N/A</v>
      </c>
      <c r="D555" s="17"/>
      <c r="G555"/>
      <c r="H555"/>
      <c r="I555" s="52">
        <f t="shared" si="196"/>
        <v>1</v>
      </c>
      <c r="K555" s="52" t="str">
        <f t="shared" si="197"/>
        <v xml:space="preserve">-  </v>
      </c>
      <c r="L555" s="52" t="str">
        <f t="shared" si="198"/>
        <v xml:space="preserve"> --</v>
      </c>
      <c r="M555" s="52" t="str">
        <f t="shared" si="199"/>
        <v>- -</v>
      </c>
      <c r="N555" s="19"/>
      <c r="O555" s="52" t="e">
        <f t="shared" si="180"/>
        <v>#N/A</v>
      </c>
      <c r="P555" s="52" t="e">
        <f t="shared" si="181"/>
        <v>#N/A</v>
      </c>
    </row>
    <row r="556" spans="3:16" ht="14.4" x14ac:dyDescent="0.3">
      <c r="C556" s="49" t="e">
        <f>VLOOKUP(B556,DAY!$C$2:$D$7,2,FALSE)</f>
        <v>#N/A</v>
      </c>
      <c r="D556" s="17"/>
      <c r="G556"/>
      <c r="H556"/>
      <c r="I556" s="52">
        <f t="shared" si="196"/>
        <v>1</v>
      </c>
      <c r="K556" s="52" t="str">
        <f t="shared" si="197"/>
        <v xml:space="preserve">-  </v>
      </c>
      <c r="L556" s="52" t="str">
        <f t="shared" si="198"/>
        <v xml:space="preserve"> --</v>
      </c>
      <c r="M556" s="52" t="str">
        <f t="shared" si="199"/>
        <v>- -</v>
      </c>
      <c r="N556" s="19"/>
      <c r="O556" s="52" t="e">
        <f t="shared" si="180"/>
        <v>#N/A</v>
      </c>
      <c r="P556" s="52" t="e">
        <f t="shared" si="181"/>
        <v>#N/A</v>
      </c>
    </row>
    <row r="557" spans="3:16" ht="14.4" x14ac:dyDescent="0.3">
      <c r="C557" s="49" t="e">
        <f>VLOOKUP(B557,DAY!$C$2:$D$7,2,FALSE)</f>
        <v>#N/A</v>
      </c>
      <c r="D557" s="17"/>
      <c r="G557"/>
      <c r="H557"/>
      <c r="I557" s="52">
        <f t="shared" si="196"/>
        <v>1</v>
      </c>
      <c r="K557" s="52" t="str">
        <f t="shared" si="197"/>
        <v xml:space="preserve">-  </v>
      </c>
      <c r="L557" s="52" t="str">
        <f t="shared" si="198"/>
        <v xml:space="preserve"> --</v>
      </c>
      <c r="M557" s="52" t="str">
        <f t="shared" si="199"/>
        <v>- -</v>
      </c>
      <c r="N557" s="19"/>
      <c r="O557" s="52" t="e">
        <f t="shared" si="180"/>
        <v>#N/A</v>
      </c>
      <c r="P557" s="52" t="e">
        <f t="shared" si="181"/>
        <v>#N/A</v>
      </c>
    </row>
    <row r="558" spans="3:16" ht="14.4" x14ac:dyDescent="0.3">
      <c r="C558" s="49" t="e">
        <f>VLOOKUP(B558,DAY!$C$2:$D$7,2,FALSE)</f>
        <v>#N/A</v>
      </c>
      <c r="D558" s="17"/>
      <c r="G558"/>
      <c r="H558"/>
      <c r="I558" s="52">
        <f t="shared" si="196"/>
        <v>1</v>
      </c>
      <c r="K558" s="52" t="str">
        <f t="shared" si="197"/>
        <v xml:space="preserve">-  </v>
      </c>
      <c r="L558" s="52" t="str">
        <f t="shared" si="198"/>
        <v xml:space="preserve"> --</v>
      </c>
      <c r="M558" s="52" t="str">
        <f t="shared" si="199"/>
        <v>- -</v>
      </c>
      <c r="N558" s="19"/>
      <c r="O558" s="52" t="e">
        <f t="shared" si="180"/>
        <v>#N/A</v>
      </c>
      <c r="P558" s="52" t="e">
        <f t="shared" si="181"/>
        <v>#N/A</v>
      </c>
    </row>
    <row r="559" spans="3:16" ht="14.4" x14ac:dyDescent="0.3">
      <c r="C559" s="49" t="e">
        <f>VLOOKUP(B559,DAY!$C$2:$D$7,2,FALSE)</f>
        <v>#N/A</v>
      </c>
      <c r="D559" s="17"/>
      <c r="G559"/>
      <c r="H559"/>
      <c r="I559" s="52">
        <f t="shared" si="196"/>
        <v>1</v>
      </c>
      <c r="K559" s="52" t="str">
        <f t="shared" si="197"/>
        <v xml:space="preserve">-  </v>
      </c>
      <c r="L559" s="52" t="str">
        <f t="shared" si="198"/>
        <v xml:space="preserve"> --</v>
      </c>
      <c r="M559" s="52" t="str">
        <f t="shared" si="199"/>
        <v>- -</v>
      </c>
      <c r="N559" s="19"/>
      <c r="O559" s="52" t="e">
        <f t="shared" si="180"/>
        <v>#N/A</v>
      </c>
      <c r="P559" s="52" t="e">
        <f t="shared" si="181"/>
        <v>#N/A</v>
      </c>
    </row>
    <row r="560" spans="3:16" ht="14.4" x14ac:dyDescent="0.3">
      <c r="C560" s="49" t="e">
        <f>VLOOKUP(B560,DAY!$C$2:$D$7,2,FALSE)</f>
        <v>#N/A</v>
      </c>
      <c r="D560" s="17"/>
      <c r="G560"/>
      <c r="H560"/>
      <c r="I560" s="52">
        <f t="shared" si="196"/>
        <v>1</v>
      </c>
      <c r="K560" s="52" t="str">
        <f t="shared" si="197"/>
        <v xml:space="preserve">-  </v>
      </c>
      <c r="L560" s="52" t="str">
        <f t="shared" si="198"/>
        <v xml:space="preserve"> --</v>
      </c>
      <c r="M560" s="52" t="str">
        <f t="shared" si="199"/>
        <v>- -</v>
      </c>
      <c r="N560" s="19"/>
      <c r="O560" s="52" t="e">
        <f t="shared" si="180"/>
        <v>#N/A</v>
      </c>
      <c r="P560" s="52" t="e">
        <f t="shared" si="181"/>
        <v>#N/A</v>
      </c>
    </row>
    <row r="561" spans="3:16" ht="14.4" x14ac:dyDescent="0.3">
      <c r="C561" s="49" t="e">
        <f>VLOOKUP(B561,DAY!$C$2:$D$7,2,FALSE)</f>
        <v>#N/A</v>
      </c>
      <c r="D561" s="17"/>
      <c r="G561"/>
      <c r="H561"/>
      <c r="I561" s="52">
        <f t="shared" si="196"/>
        <v>1</v>
      </c>
      <c r="K561" s="52" t="str">
        <f t="shared" si="197"/>
        <v xml:space="preserve">-  </v>
      </c>
      <c r="L561" s="52" t="str">
        <f t="shared" si="198"/>
        <v xml:space="preserve"> --</v>
      </c>
      <c r="M561" s="52" t="str">
        <f t="shared" si="199"/>
        <v>- -</v>
      </c>
      <c r="N561" s="19"/>
      <c r="O561" s="52" t="e">
        <f t="shared" si="180"/>
        <v>#N/A</v>
      </c>
      <c r="P561" s="52" t="e">
        <f t="shared" si="181"/>
        <v>#N/A</v>
      </c>
    </row>
    <row r="562" spans="3:16" ht="14.4" x14ac:dyDescent="0.3">
      <c r="C562" s="49" t="e">
        <f>VLOOKUP(B562,DAY!$C$2:$D$7,2,FALSE)</f>
        <v>#N/A</v>
      </c>
      <c r="D562" s="17"/>
      <c r="G562"/>
      <c r="H562"/>
      <c r="I562" s="52">
        <f t="shared" si="196"/>
        <v>1</v>
      </c>
      <c r="K562" s="52" t="str">
        <f t="shared" si="197"/>
        <v xml:space="preserve">-  </v>
      </c>
      <c r="L562" s="52" t="str">
        <f t="shared" si="198"/>
        <v xml:space="preserve"> --</v>
      </c>
      <c r="M562" s="52" t="str">
        <f t="shared" si="199"/>
        <v>- -</v>
      </c>
      <c r="N562" s="19"/>
      <c r="O562" s="52" t="e">
        <f t="shared" si="180"/>
        <v>#N/A</v>
      </c>
      <c r="P562" s="52" t="e">
        <f t="shared" si="181"/>
        <v>#N/A</v>
      </c>
    </row>
    <row r="563" spans="3:16" ht="14.4" x14ac:dyDescent="0.3">
      <c r="C563" s="49" t="e">
        <f>VLOOKUP(B563,DAY!$C$2:$D$7,2,FALSE)</f>
        <v>#N/A</v>
      </c>
      <c r="D563" s="17"/>
      <c r="G563"/>
      <c r="H563"/>
      <c r="I563" s="52">
        <f t="shared" ref="I563:I587" si="200">IF(H563="",1,2)</f>
        <v>1</v>
      </c>
      <c r="K563" s="52" t="str">
        <f t="shared" ref="K563:K564" si="201">E563&amp;"-"&amp;A563&amp;" "&amp;H563&amp;" "&amp;G563</f>
        <v xml:space="preserve">-  </v>
      </c>
      <c r="L563" s="52" t="str">
        <f t="shared" ref="L563:L564" si="202">H563&amp;" "&amp;E563&amp;"-"&amp;F563&amp;"-"&amp;G563</f>
        <v xml:space="preserve"> --</v>
      </c>
      <c r="M563" s="52" t="str">
        <f t="shared" ref="M563:M564" si="203">A563&amp;"-"&amp;H563&amp;" "&amp;E563&amp;"-"&amp;F563</f>
        <v>- -</v>
      </c>
      <c r="N563" s="19"/>
      <c r="O563" s="52" t="e">
        <f t="shared" si="180"/>
        <v>#N/A</v>
      </c>
      <c r="P563" s="52" t="e">
        <f t="shared" si="181"/>
        <v>#N/A</v>
      </c>
    </row>
    <row r="564" spans="3:16" ht="14.4" x14ac:dyDescent="0.3">
      <c r="C564" s="49" t="e">
        <f>VLOOKUP(B564,DAY!$C$2:$D$7,2,FALSE)</f>
        <v>#N/A</v>
      </c>
      <c r="D564" s="17"/>
      <c r="G564"/>
      <c r="H564"/>
      <c r="I564" s="52">
        <f t="shared" si="200"/>
        <v>1</v>
      </c>
      <c r="K564" s="52" t="str">
        <f t="shared" si="201"/>
        <v xml:space="preserve">-  </v>
      </c>
      <c r="L564" s="52" t="str">
        <f t="shared" si="202"/>
        <v xml:space="preserve"> --</v>
      </c>
      <c r="M564" s="52" t="str">
        <f t="shared" si="203"/>
        <v>- -</v>
      </c>
      <c r="N564" s="19"/>
      <c r="O564" s="52" t="e">
        <f t="shared" si="180"/>
        <v>#N/A</v>
      </c>
      <c r="P564" s="52" t="e">
        <f t="shared" si="181"/>
        <v>#N/A</v>
      </c>
    </row>
    <row r="565" spans="3:16" x14ac:dyDescent="0.4">
      <c r="C565" s="49" t="e">
        <f>VLOOKUP(B565,DAY!$C$2:$D$7,2,FALSE)</f>
        <v>#N/A</v>
      </c>
      <c r="I565" s="52">
        <f t="shared" si="200"/>
        <v>1</v>
      </c>
      <c r="K565" s="52" t="str">
        <f t="shared" ref="K565:K587" si="204">E565&amp;"-"&amp;A565&amp;" "&amp;H565&amp;" "&amp;G565</f>
        <v xml:space="preserve">-  </v>
      </c>
      <c r="L565" s="52" t="str">
        <f t="shared" ref="L565:L587" si="205">H565&amp;" "&amp;E565&amp;"-"&amp;F565&amp;"-"&amp;G565</f>
        <v xml:space="preserve"> --</v>
      </c>
      <c r="M565" s="52" t="str">
        <f t="shared" ref="M565:M587" si="206">A565&amp;"-"&amp;H565&amp;" "&amp;E565&amp;"-"&amp;F565</f>
        <v>- -</v>
      </c>
      <c r="N565" s="19"/>
      <c r="O565" s="52" t="e">
        <f t="shared" ref="O565:O587" si="207">C565&amp;D565&amp;F565</f>
        <v>#N/A</v>
      </c>
      <c r="P565" s="52" t="e">
        <f t="shared" ref="P565:P587" si="208">C565&amp;D565&amp;G565</f>
        <v>#N/A</v>
      </c>
    </row>
    <row r="566" spans="3:16" x14ac:dyDescent="0.4">
      <c r="C566" s="49" t="e">
        <f>VLOOKUP(B566,DAY!$C$2:$D$7,2,FALSE)</f>
        <v>#N/A</v>
      </c>
      <c r="I566" s="52">
        <f t="shared" si="200"/>
        <v>1</v>
      </c>
      <c r="K566" s="52" t="str">
        <f t="shared" si="204"/>
        <v xml:space="preserve">-  </v>
      </c>
      <c r="L566" s="52" t="str">
        <f t="shared" si="205"/>
        <v xml:space="preserve"> --</v>
      </c>
      <c r="M566" s="52" t="str">
        <f t="shared" si="206"/>
        <v>- -</v>
      </c>
      <c r="N566" s="19"/>
      <c r="O566" s="52" t="e">
        <f t="shared" si="207"/>
        <v>#N/A</v>
      </c>
      <c r="P566" s="52" t="e">
        <f t="shared" si="208"/>
        <v>#N/A</v>
      </c>
    </row>
    <row r="567" spans="3:16" x14ac:dyDescent="0.4">
      <c r="C567" s="49" t="e">
        <f>VLOOKUP(B567,DAY!$C$2:$D$7,2,FALSE)</f>
        <v>#N/A</v>
      </c>
      <c r="I567" s="52">
        <f t="shared" si="200"/>
        <v>1</v>
      </c>
      <c r="K567" s="52" t="str">
        <f t="shared" si="204"/>
        <v xml:space="preserve">-  </v>
      </c>
      <c r="L567" s="52" t="str">
        <f t="shared" si="205"/>
        <v xml:space="preserve"> --</v>
      </c>
      <c r="M567" s="52" t="str">
        <f t="shared" si="206"/>
        <v>- -</v>
      </c>
      <c r="N567" s="19"/>
      <c r="O567" s="52" t="e">
        <f t="shared" si="207"/>
        <v>#N/A</v>
      </c>
      <c r="P567" s="52" t="e">
        <f t="shared" si="208"/>
        <v>#N/A</v>
      </c>
    </row>
    <row r="568" spans="3:16" x14ac:dyDescent="0.4">
      <c r="C568" s="49" t="e">
        <f>VLOOKUP(B568,DAY!$C$2:$D$7,2,FALSE)</f>
        <v>#N/A</v>
      </c>
      <c r="I568" s="52">
        <f t="shared" si="200"/>
        <v>1</v>
      </c>
      <c r="K568" s="52" t="str">
        <f t="shared" si="204"/>
        <v xml:space="preserve">-  </v>
      </c>
      <c r="L568" s="52" t="str">
        <f t="shared" si="205"/>
        <v xml:space="preserve"> --</v>
      </c>
      <c r="M568" s="52" t="str">
        <f t="shared" si="206"/>
        <v>- -</v>
      </c>
      <c r="N568" s="19"/>
      <c r="O568" s="52" t="e">
        <f t="shared" si="207"/>
        <v>#N/A</v>
      </c>
      <c r="P568" s="52" t="e">
        <f t="shared" si="208"/>
        <v>#N/A</v>
      </c>
    </row>
    <row r="569" spans="3:16" x14ac:dyDescent="0.4">
      <c r="C569" s="49" t="e">
        <f>VLOOKUP(B569,DAY!$C$2:$D$7,2,FALSE)</f>
        <v>#N/A</v>
      </c>
      <c r="I569" s="52">
        <f t="shared" si="200"/>
        <v>1</v>
      </c>
      <c r="K569" s="52" t="str">
        <f t="shared" si="204"/>
        <v xml:space="preserve">-  </v>
      </c>
      <c r="L569" s="52" t="str">
        <f t="shared" si="205"/>
        <v xml:space="preserve"> --</v>
      </c>
      <c r="M569" s="52" t="str">
        <f t="shared" si="206"/>
        <v>- -</v>
      </c>
      <c r="N569" s="19"/>
      <c r="O569" s="52" t="e">
        <f t="shared" si="207"/>
        <v>#N/A</v>
      </c>
      <c r="P569" s="52" t="e">
        <f t="shared" si="208"/>
        <v>#N/A</v>
      </c>
    </row>
    <row r="570" spans="3:16" ht="14.4" x14ac:dyDescent="0.3">
      <c r="C570" s="49" t="e">
        <f>VLOOKUP(B570,DAY!$C$2:$D$7,2,FALSE)</f>
        <v>#N/A</v>
      </c>
      <c r="D570" s="17"/>
      <c r="G570"/>
      <c r="H570"/>
      <c r="I570" s="52">
        <f t="shared" si="200"/>
        <v>1</v>
      </c>
      <c r="K570" s="52" t="str">
        <f t="shared" si="204"/>
        <v xml:space="preserve">-  </v>
      </c>
      <c r="L570" s="52" t="str">
        <f t="shared" si="205"/>
        <v xml:space="preserve"> --</v>
      </c>
      <c r="M570" s="52" t="str">
        <f t="shared" si="206"/>
        <v>- -</v>
      </c>
      <c r="N570" s="19"/>
      <c r="O570" s="52" t="e">
        <f t="shared" si="207"/>
        <v>#N/A</v>
      </c>
      <c r="P570" s="52" t="e">
        <f t="shared" si="208"/>
        <v>#N/A</v>
      </c>
    </row>
    <row r="571" spans="3:16" x14ac:dyDescent="0.4">
      <c r="C571" s="49" t="e">
        <f>VLOOKUP(B571,DAY!$C$2:$D$7,2,FALSE)</f>
        <v>#N/A</v>
      </c>
      <c r="I571" s="52">
        <f t="shared" si="200"/>
        <v>1</v>
      </c>
      <c r="K571" s="52" t="str">
        <f t="shared" si="204"/>
        <v xml:space="preserve">-  </v>
      </c>
      <c r="L571" s="52" t="str">
        <f t="shared" si="205"/>
        <v xml:space="preserve"> --</v>
      </c>
      <c r="M571" s="52" t="str">
        <f t="shared" si="206"/>
        <v>- -</v>
      </c>
      <c r="N571" s="19"/>
      <c r="O571" s="52" t="e">
        <f t="shared" si="207"/>
        <v>#N/A</v>
      </c>
      <c r="P571" s="52" t="e">
        <f t="shared" si="208"/>
        <v>#N/A</v>
      </c>
    </row>
    <row r="572" spans="3:16" x14ac:dyDescent="0.4">
      <c r="C572" s="49" t="e">
        <f>VLOOKUP(B572,DAY!$C$2:$D$7,2,FALSE)</f>
        <v>#N/A</v>
      </c>
      <c r="I572" s="52">
        <f t="shared" si="200"/>
        <v>1</v>
      </c>
      <c r="K572" s="52" t="str">
        <f t="shared" si="204"/>
        <v xml:space="preserve">-  </v>
      </c>
      <c r="L572" s="52" t="str">
        <f t="shared" si="205"/>
        <v xml:space="preserve"> --</v>
      </c>
      <c r="M572" s="52" t="str">
        <f t="shared" si="206"/>
        <v>- -</v>
      </c>
      <c r="N572" s="19"/>
      <c r="O572" s="52" t="e">
        <f t="shared" si="207"/>
        <v>#N/A</v>
      </c>
      <c r="P572" s="52" t="e">
        <f t="shared" si="208"/>
        <v>#N/A</v>
      </c>
    </row>
    <row r="573" spans="3:16" x14ac:dyDescent="0.4">
      <c r="C573" s="49" t="e">
        <f>VLOOKUP(B573,DAY!$C$2:$D$7,2,FALSE)</f>
        <v>#N/A</v>
      </c>
      <c r="I573" s="52">
        <f t="shared" si="200"/>
        <v>1</v>
      </c>
      <c r="K573" s="52" t="str">
        <f t="shared" si="204"/>
        <v xml:space="preserve">-  </v>
      </c>
      <c r="L573" s="52" t="str">
        <f t="shared" si="205"/>
        <v xml:space="preserve"> --</v>
      </c>
      <c r="M573" s="52" t="str">
        <f t="shared" si="206"/>
        <v>- -</v>
      </c>
      <c r="N573" s="19"/>
      <c r="O573" s="52" t="e">
        <f t="shared" si="207"/>
        <v>#N/A</v>
      </c>
      <c r="P573" s="52" t="e">
        <f t="shared" si="208"/>
        <v>#N/A</v>
      </c>
    </row>
    <row r="574" spans="3:16" x14ac:dyDescent="0.4">
      <c r="C574" s="49" t="e">
        <f>VLOOKUP(B574,DAY!$C$2:$D$7,2,FALSE)</f>
        <v>#N/A</v>
      </c>
      <c r="I574" s="52">
        <f t="shared" si="200"/>
        <v>1</v>
      </c>
      <c r="K574" s="52" t="str">
        <f t="shared" si="204"/>
        <v xml:space="preserve">-  </v>
      </c>
      <c r="L574" s="52" t="str">
        <f t="shared" si="205"/>
        <v xml:space="preserve"> --</v>
      </c>
      <c r="M574" s="52" t="str">
        <f t="shared" si="206"/>
        <v>- -</v>
      </c>
      <c r="N574" s="19"/>
      <c r="O574" s="52" t="e">
        <f t="shared" si="207"/>
        <v>#N/A</v>
      </c>
      <c r="P574" s="52" t="e">
        <f t="shared" si="208"/>
        <v>#N/A</v>
      </c>
    </row>
    <row r="575" spans="3:16" x14ac:dyDescent="0.4">
      <c r="C575" s="49" t="e">
        <f>VLOOKUP(B575,DAY!$C$2:$D$7,2,FALSE)</f>
        <v>#N/A</v>
      </c>
      <c r="I575" s="52">
        <f t="shared" si="200"/>
        <v>1</v>
      </c>
      <c r="K575" s="52" t="str">
        <f t="shared" si="204"/>
        <v xml:space="preserve">-  </v>
      </c>
      <c r="L575" s="52" t="str">
        <f t="shared" si="205"/>
        <v xml:space="preserve"> --</v>
      </c>
      <c r="M575" s="52" t="str">
        <f t="shared" si="206"/>
        <v>- -</v>
      </c>
      <c r="N575" s="19"/>
      <c r="O575" s="52" t="e">
        <f t="shared" si="207"/>
        <v>#N/A</v>
      </c>
      <c r="P575" s="52" t="e">
        <f t="shared" si="208"/>
        <v>#N/A</v>
      </c>
    </row>
    <row r="576" spans="3:16" x14ac:dyDescent="0.4">
      <c r="C576" s="49" t="e">
        <f>VLOOKUP(B576,DAY!$C$2:$D$7,2,FALSE)</f>
        <v>#N/A</v>
      </c>
      <c r="I576" s="52">
        <f t="shared" si="200"/>
        <v>1</v>
      </c>
      <c r="K576" s="52" t="str">
        <f t="shared" si="204"/>
        <v xml:space="preserve">-  </v>
      </c>
      <c r="L576" s="52" t="str">
        <f t="shared" si="205"/>
        <v xml:space="preserve"> --</v>
      </c>
      <c r="M576" s="52" t="str">
        <f t="shared" si="206"/>
        <v>- -</v>
      </c>
      <c r="N576" s="19"/>
      <c r="O576" s="52" t="e">
        <f t="shared" si="207"/>
        <v>#N/A</v>
      </c>
      <c r="P576" s="52" t="e">
        <f t="shared" si="208"/>
        <v>#N/A</v>
      </c>
    </row>
    <row r="577" spans="3:16" x14ac:dyDescent="0.4">
      <c r="C577" s="49" t="e">
        <f>VLOOKUP(B577,DAY!$C$2:$D$7,2,FALSE)</f>
        <v>#N/A</v>
      </c>
      <c r="I577" s="52">
        <f t="shared" si="200"/>
        <v>1</v>
      </c>
      <c r="K577" s="52" t="str">
        <f t="shared" si="204"/>
        <v xml:space="preserve">-  </v>
      </c>
      <c r="L577" s="52" t="str">
        <f t="shared" si="205"/>
        <v xml:space="preserve"> --</v>
      </c>
      <c r="M577" s="52" t="str">
        <f t="shared" si="206"/>
        <v>- -</v>
      </c>
      <c r="N577" s="19"/>
      <c r="O577" s="52" t="e">
        <f t="shared" si="207"/>
        <v>#N/A</v>
      </c>
      <c r="P577" s="52" t="e">
        <f t="shared" si="208"/>
        <v>#N/A</v>
      </c>
    </row>
    <row r="578" spans="3:16" x14ac:dyDescent="0.4">
      <c r="C578" s="49" t="e">
        <f>VLOOKUP(B578,DAY!$C$2:$D$7,2,FALSE)</f>
        <v>#N/A</v>
      </c>
      <c r="I578" s="52">
        <f t="shared" si="200"/>
        <v>1</v>
      </c>
      <c r="K578" s="52" t="str">
        <f t="shared" si="204"/>
        <v xml:space="preserve">-  </v>
      </c>
      <c r="L578" s="52" t="str">
        <f t="shared" si="205"/>
        <v xml:space="preserve"> --</v>
      </c>
      <c r="M578" s="52" t="str">
        <f t="shared" si="206"/>
        <v>- -</v>
      </c>
      <c r="N578" s="19"/>
      <c r="O578" s="52" t="e">
        <f t="shared" si="207"/>
        <v>#N/A</v>
      </c>
      <c r="P578" s="52" t="e">
        <f t="shared" si="208"/>
        <v>#N/A</v>
      </c>
    </row>
    <row r="579" spans="3:16" x14ac:dyDescent="0.4">
      <c r="C579" s="49" t="e">
        <f>VLOOKUP(B579,DAY!$C$2:$D$7,2,FALSE)</f>
        <v>#N/A</v>
      </c>
      <c r="I579" s="52">
        <f t="shared" si="200"/>
        <v>1</v>
      </c>
      <c r="K579" s="52" t="str">
        <f t="shared" si="204"/>
        <v xml:space="preserve">-  </v>
      </c>
      <c r="L579" s="52" t="str">
        <f t="shared" si="205"/>
        <v xml:space="preserve"> --</v>
      </c>
      <c r="M579" s="52" t="str">
        <f t="shared" si="206"/>
        <v>- -</v>
      </c>
      <c r="N579" s="19"/>
      <c r="O579" s="52" t="e">
        <f t="shared" si="207"/>
        <v>#N/A</v>
      </c>
      <c r="P579" s="52" t="e">
        <f t="shared" si="208"/>
        <v>#N/A</v>
      </c>
    </row>
    <row r="580" spans="3:16" x14ac:dyDescent="0.4">
      <c r="C580" s="49" t="e">
        <f>VLOOKUP(B580,DAY!$C$2:$D$7,2,FALSE)</f>
        <v>#N/A</v>
      </c>
      <c r="I580" s="52">
        <f t="shared" si="200"/>
        <v>1</v>
      </c>
      <c r="K580" s="52" t="str">
        <f t="shared" si="204"/>
        <v xml:space="preserve">-  </v>
      </c>
      <c r="L580" s="52" t="str">
        <f t="shared" si="205"/>
        <v xml:space="preserve"> --</v>
      </c>
      <c r="M580" s="52" t="str">
        <f t="shared" si="206"/>
        <v>- -</v>
      </c>
      <c r="N580" s="19"/>
      <c r="O580" s="52" t="e">
        <f t="shared" si="207"/>
        <v>#N/A</v>
      </c>
      <c r="P580" s="52" t="e">
        <f t="shared" si="208"/>
        <v>#N/A</v>
      </c>
    </row>
    <row r="581" spans="3:16" x14ac:dyDescent="0.4">
      <c r="C581" s="49" t="e">
        <f>VLOOKUP(B581,DAY!$C$2:$D$7,2,FALSE)</f>
        <v>#N/A</v>
      </c>
      <c r="I581" s="52">
        <f t="shared" si="200"/>
        <v>1</v>
      </c>
      <c r="K581" s="52" t="str">
        <f t="shared" si="204"/>
        <v xml:space="preserve">-  </v>
      </c>
      <c r="L581" s="52" t="str">
        <f t="shared" si="205"/>
        <v xml:space="preserve"> --</v>
      </c>
      <c r="M581" s="52" t="str">
        <f t="shared" si="206"/>
        <v>- -</v>
      </c>
      <c r="N581" s="19"/>
      <c r="O581" s="52" t="e">
        <f t="shared" si="207"/>
        <v>#N/A</v>
      </c>
      <c r="P581" s="52" t="e">
        <f t="shared" si="208"/>
        <v>#N/A</v>
      </c>
    </row>
    <row r="582" spans="3:16" x14ac:dyDescent="0.4">
      <c r="C582" s="49" t="e">
        <f>VLOOKUP(B582,DAY!$C$2:$D$7,2,FALSE)</f>
        <v>#N/A</v>
      </c>
      <c r="I582" s="52">
        <f t="shared" si="200"/>
        <v>1</v>
      </c>
      <c r="K582" s="52" t="str">
        <f t="shared" si="204"/>
        <v xml:space="preserve">-  </v>
      </c>
      <c r="L582" s="52" t="str">
        <f t="shared" si="205"/>
        <v xml:space="preserve"> --</v>
      </c>
      <c r="M582" s="52" t="str">
        <f t="shared" si="206"/>
        <v>- -</v>
      </c>
      <c r="N582" s="19"/>
      <c r="O582" s="52" t="e">
        <f t="shared" si="207"/>
        <v>#N/A</v>
      </c>
      <c r="P582" s="52" t="e">
        <f t="shared" si="208"/>
        <v>#N/A</v>
      </c>
    </row>
    <row r="583" spans="3:16" x14ac:dyDescent="0.4">
      <c r="C583" s="49" t="e">
        <f>VLOOKUP(B583,DAY!$C$2:$D$7,2,FALSE)</f>
        <v>#N/A</v>
      </c>
      <c r="I583" s="52">
        <f t="shared" si="200"/>
        <v>1</v>
      </c>
      <c r="K583" s="52" t="str">
        <f t="shared" si="204"/>
        <v xml:space="preserve">-  </v>
      </c>
      <c r="L583" s="52" t="str">
        <f t="shared" si="205"/>
        <v xml:space="preserve"> --</v>
      </c>
      <c r="M583" s="52" t="str">
        <f t="shared" si="206"/>
        <v>- -</v>
      </c>
      <c r="N583" s="19"/>
      <c r="O583" s="52" t="e">
        <f t="shared" si="207"/>
        <v>#N/A</v>
      </c>
      <c r="P583" s="52" t="e">
        <f t="shared" si="208"/>
        <v>#N/A</v>
      </c>
    </row>
    <row r="584" spans="3:16" x14ac:dyDescent="0.4">
      <c r="C584" s="49" t="e">
        <f>VLOOKUP(B584,DAY!$C$2:$D$7,2,FALSE)</f>
        <v>#N/A</v>
      </c>
      <c r="I584" s="52">
        <f t="shared" si="200"/>
        <v>1</v>
      </c>
      <c r="K584" s="52" t="str">
        <f t="shared" si="204"/>
        <v xml:space="preserve">-  </v>
      </c>
      <c r="L584" s="52" t="str">
        <f t="shared" si="205"/>
        <v xml:space="preserve"> --</v>
      </c>
      <c r="M584" s="52" t="str">
        <f t="shared" si="206"/>
        <v>- -</v>
      </c>
      <c r="N584" s="19"/>
      <c r="O584" s="52" t="e">
        <f t="shared" si="207"/>
        <v>#N/A</v>
      </c>
      <c r="P584" s="52" t="e">
        <f t="shared" si="208"/>
        <v>#N/A</v>
      </c>
    </row>
    <row r="585" spans="3:16" x14ac:dyDescent="0.4">
      <c r="C585" s="49" t="e">
        <f>VLOOKUP(B585,DAY!$C$2:$D$7,2,FALSE)</f>
        <v>#N/A</v>
      </c>
      <c r="I585" s="52">
        <f t="shared" si="200"/>
        <v>1</v>
      </c>
      <c r="K585" s="52" t="str">
        <f t="shared" si="204"/>
        <v xml:space="preserve">-  </v>
      </c>
      <c r="L585" s="52" t="str">
        <f t="shared" si="205"/>
        <v xml:space="preserve"> --</v>
      </c>
      <c r="M585" s="52" t="str">
        <f t="shared" si="206"/>
        <v>- -</v>
      </c>
      <c r="N585" s="19"/>
      <c r="O585" s="52" t="e">
        <f t="shared" si="207"/>
        <v>#N/A</v>
      </c>
      <c r="P585" s="52" t="e">
        <f t="shared" si="208"/>
        <v>#N/A</v>
      </c>
    </row>
    <row r="586" spans="3:16" x14ac:dyDescent="0.4">
      <c r="C586" s="49" t="e">
        <f>VLOOKUP(B586,DAY!$C$2:$D$7,2,FALSE)</f>
        <v>#N/A</v>
      </c>
      <c r="I586" s="52">
        <f t="shared" si="200"/>
        <v>1</v>
      </c>
      <c r="K586" s="52" t="str">
        <f t="shared" si="204"/>
        <v xml:space="preserve">-  </v>
      </c>
      <c r="L586" s="52" t="str">
        <f t="shared" si="205"/>
        <v xml:space="preserve"> --</v>
      </c>
      <c r="M586" s="52" t="str">
        <f t="shared" si="206"/>
        <v>- -</v>
      </c>
      <c r="N586" s="19"/>
      <c r="O586" s="52" t="e">
        <f t="shared" si="207"/>
        <v>#N/A</v>
      </c>
      <c r="P586" s="52" t="e">
        <f t="shared" si="208"/>
        <v>#N/A</v>
      </c>
    </row>
    <row r="587" spans="3:16" x14ac:dyDescent="0.4">
      <c r="C587" s="49" t="e">
        <f>VLOOKUP(B587,DAY!$C$2:$D$7,2,FALSE)</f>
        <v>#N/A</v>
      </c>
      <c r="I587" s="52">
        <f t="shared" si="200"/>
        <v>1</v>
      </c>
      <c r="K587" s="52" t="str">
        <f t="shared" si="204"/>
        <v xml:space="preserve">-  </v>
      </c>
      <c r="L587" s="52" t="str">
        <f t="shared" si="205"/>
        <v xml:space="preserve"> --</v>
      </c>
      <c r="M587" s="52" t="str">
        <f t="shared" si="206"/>
        <v>- -</v>
      </c>
      <c r="N587" s="19"/>
      <c r="O587" s="52" t="e">
        <f t="shared" si="207"/>
        <v>#N/A</v>
      </c>
      <c r="P587" s="52" t="e">
        <f t="shared" si="208"/>
        <v>#N/A</v>
      </c>
    </row>
    <row r="588" spans="3:16" x14ac:dyDescent="0.4">
      <c r="C588" s="49" t="e">
        <f>VLOOKUP(B588,DAY!$C$2:$D$7,2,FALSE)</f>
        <v>#N/A</v>
      </c>
      <c r="I588" s="52">
        <f t="shared" ref="I588" si="209">IF(H588="",1,2)</f>
        <v>1</v>
      </c>
      <c r="K588" s="52" t="str">
        <f t="shared" ref="K588" si="210">E588&amp;"-"&amp;A588&amp;" "&amp;H588&amp;" "&amp;G588</f>
        <v xml:space="preserve">-  </v>
      </c>
      <c r="L588" s="52" t="str">
        <f t="shared" ref="L588" si="211">H588&amp;" "&amp;E588&amp;"-"&amp;F588&amp;"-"&amp;G588</f>
        <v xml:space="preserve"> --</v>
      </c>
      <c r="M588" s="52" t="str">
        <f t="shared" ref="M588" si="212">A588&amp;"-"&amp;H588&amp;" "&amp;E588&amp;"-"&amp;F588</f>
        <v>- -</v>
      </c>
      <c r="N588" s="19"/>
      <c r="O588" s="52" t="e">
        <f t="shared" ref="O588" si="213">C588&amp;D588&amp;F588</f>
        <v>#N/A</v>
      </c>
      <c r="P588" s="52" t="e">
        <f t="shared" ref="P588" si="214">C588&amp;D588&amp;G588</f>
        <v>#N/A</v>
      </c>
    </row>
    <row r="589" spans="3:16" x14ac:dyDescent="0.4">
      <c r="C589" s="49" t="e">
        <f>VLOOKUP(B589,DAY!$C$2:$D$7,2,FALSE)</f>
        <v>#N/A</v>
      </c>
      <c r="I589" s="52">
        <f t="shared" ref="I589:I600" si="215">IF(H589="",1,2)</f>
        <v>1</v>
      </c>
      <c r="K589" s="52" t="str">
        <f t="shared" ref="K589:K600" si="216">E589&amp;"-"&amp;A589&amp;" "&amp;H589&amp;" "&amp;G589</f>
        <v xml:space="preserve">-  </v>
      </c>
      <c r="L589" s="52" t="str">
        <f t="shared" ref="L589:L600" si="217">H589&amp;" "&amp;E589&amp;"-"&amp;F589&amp;"-"&amp;G589</f>
        <v xml:space="preserve"> --</v>
      </c>
      <c r="M589" s="52" t="str">
        <f t="shared" ref="M589:M600" si="218">A589&amp;"-"&amp;H589&amp;" "&amp;E589&amp;"-"&amp;F589</f>
        <v>- -</v>
      </c>
      <c r="N589" s="19"/>
      <c r="O589" s="52" t="e">
        <f t="shared" ref="O589:O600" si="219">C589&amp;D589&amp;F589</f>
        <v>#N/A</v>
      </c>
      <c r="P589" s="52" t="e">
        <f t="shared" ref="P589:P600" si="220">C589&amp;D589&amp;G589</f>
        <v>#N/A</v>
      </c>
    </row>
    <row r="590" spans="3:16" x14ac:dyDescent="0.4">
      <c r="C590" s="49" t="e">
        <f>VLOOKUP(B590,DAY!$C$2:$D$7,2,FALSE)</f>
        <v>#N/A</v>
      </c>
      <c r="I590" s="52">
        <f t="shared" si="215"/>
        <v>1</v>
      </c>
      <c r="K590" s="52" t="str">
        <f t="shared" si="216"/>
        <v xml:space="preserve">-  </v>
      </c>
      <c r="L590" s="52" t="str">
        <f t="shared" si="217"/>
        <v xml:space="preserve"> --</v>
      </c>
      <c r="M590" s="52" t="str">
        <f t="shared" si="218"/>
        <v>- -</v>
      </c>
      <c r="N590" s="19"/>
      <c r="O590" s="52" t="e">
        <f t="shared" si="219"/>
        <v>#N/A</v>
      </c>
      <c r="P590" s="52" t="e">
        <f t="shared" si="220"/>
        <v>#N/A</v>
      </c>
    </row>
    <row r="591" spans="3:16" x14ac:dyDescent="0.4">
      <c r="C591" s="49" t="e">
        <f>VLOOKUP(B591,DAY!$C$2:$D$7,2,FALSE)</f>
        <v>#N/A</v>
      </c>
      <c r="I591" s="52">
        <f t="shared" si="215"/>
        <v>1</v>
      </c>
      <c r="K591" s="52" t="str">
        <f t="shared" si="216"/>
        <v xml:space="preserve">-  </v>
      </c>
      <c r="L591" s="52" t="str">
        <f t="shared" si="217"/>
        <v xml:space="preserve"> --</v>
      </c>
      <c r="M591" s="52" t="str">
        <f t="shared" si="218"/>
        <v>- -</v>
      </c>
      <c r="N591" s="19"/>
      <c r="O591" s="52" t="e">
        <f t="shared" si="219"/>
        <v>#N/A</v>
      </c>
      <c r="P591" s="52" t="e">
        <f t="shared" si="220"/>
        <v>#N/A</v>
      </c>
    </row>
    <row r="592" spans="3:16" x14ac:dyDescent="0.4">
      <c r="C592" s="49" t="e">
        <f>VLOOKUP(B592,DAY!$C$2:$D$7,2,FALSE)</f>
        <v>#N/A</v>
      </c>
      <c r="I592" s="52">
        <f t="shared" si="215"/>
        <v>1</v>
      </c>
      <c r="K592" s="52" t="str">
        <f t="shared" si="216"/>
        <v xml:space="preserve">-  </v>
      </c>
      <c r="L592" s="52" t="str">
        <f t="shared" si="217"/>
        <v xml:space="preserve"> --</v>
      </c>
      <c r="M592" s="52" t="str">
        <f t="shared" si="218"/>
        <v>- -</v>
      </c>
      <c r="N592" s="19"/>
      <c r="O592" s="52" t="e">
        <f t="shared" si="219"/>
        <v>#N/A</v>
      </c>
      <c r="P592" s="52" t="e">
        <f t="shared" si="220"/>
        <v>#N/A</v>
      </c>
    </row>
    <row r="593" spans="1:16" x14ac:dyDescent="0.4">
      <c r="C593" s="49" t="e">
        <f>VLOOKUP(B593,DAY!$C$2:$D$7,2,FALSE)</f>
        <v>#N/A</v>
      </c>
      <c r="I593" s="52">
        <f t="shared" si="215"/>
        <v>1</v>
      </c>
      <c r="K593" s="52" t="str">
        <f t="shared" si="216"/>
        <v xml:space="preserve">-  </v>
      </c>
      <c r="L593" s="52" t="str">
        <f t="shared" si="217"/>
        <v xml:space="preserve"> --</v>
      </c>
      <c r="M593" s="52" t="str">
        <f t="shared" si="218"/>
        <v>- -</v>
      </c>
      <c r="N593" s="19"/>
      <c r="O593" s="52" t="e">
        <f t="shared" si="219"/>
        <v>#N/A</v>
      </c>
      <c r="P593" s="52" t="e">
        <f t="shared" si="220"/>
        <v>#N/A</v>
      </c>
    </row>
    <row r="594" spans="1:16" x14ac:dyDescent="0.4">
      <c r="C594" s="49" t="e">
        <f>VLOOKUP(B594,DAY!$C$2:$D$7,2,FALSE)</f>
        <v>#N/A</v>
      </c>
      <c r="I594" s="52">
        <f t="shared" si="215"/>
        <v>1</v>
      </c>
      <c r="K594" s="52" t="str">
        <f t="shared" si="216"/>
        <v xml:space="preserve">-  </v>
      </c>
      <c r="L594" s="52" t="str">
        <f t="shared" si="217"/>
        <v xml:space="preserve"> --</v>
      </c>
      <c r="M594" s="52" t="str">
        <f t="shared" si="218"/>
        <v>- -</v>
      </c>
      <c r="N594" s="19"/>
      <c r="O594" s="52" t="e">
        <f t="shared" si="219"/>
        <v>#N/A</v>
      </c>
      <c r="P594" s="52" t="e">
        <f t="shared" si="220"/>
        <v>#N/A</v>
      </c>
    </row>
    <row r="595" spans="1:16" x14ac:dyDescent="0.4">
      <c r="C595" s="49" t="e">
        <f>VLOOKUP(B595,DAY!$C$2:$D$7,2,FALSE)</f>
        <v>#N/A</v>
      </c>
      <c r="I595" s="52">
        <f t="shared" si="215"/>
        <v>1</v>
      </c>
      <c r="K595" s="52" t="str">
        <f t="shared" si="216"/>
        <v xml:space="preserve">-  </v>
      </c>
      <c r="L595" s="52" t="str">
        <f t="shared" si="217"/>
        <v xml:space="preserve"> --</v>
      </c>
      <c r="M595" s="52" t="str">
        <f t="shared" si="218"/>
        <v>- -</v>
      </c>
      <c r="N595" s="19"/>
      <c r="O595" s="52" t="e">
        <f t="shared" si="219"/>
        <v>#N/A</v>
      </c>
      <c r="P595" s="52" t="e">
        <f t="shared" si="220"/>
        <v>#N/A</v>
      </c>
    </row>
    <row r="596" spans="1:16" x14ac:dyDescent="0.4">
      <c r="C596" s="49" t="e">
        <f>VLOOKUP(B596,DAY!$C$2:$D$7,2,FALSE)</f>
        <v>#N/A</v>
      </c>
      <c r="I596" s="52">
        <f t="shared" si="215"/>
        <v>1</v>
      </c>
      <c r="K596" s="52" t="str">
        <f t="shared" si="216"/>
        <v xml:space="preserve">-  </v>
      </c>
      <c r="L596" s="52" t="str">
        <f t="shared" si="217"/>
        <v xml:space="preserve"> --</v>
      </c>
      <c r="M596" s="52" t="str">
        <f t="shared" si="218"/>
        <v>- -</v>
      </c>
      <c r="N596" s="19"/>
      <c r="O596" s="52" t="e">
        <f t="shared" si="219"/>
        <v>#N/A</v>
      </c>
      <c r="P596" s="52" t="e">
        <f t="shared" si="220"/>
        <v>#N/A</v>
      </c>
    </row>
    <row r="597" spans="1:16" x14ac:dyDescent="0.4">
      <c r="C597" s="49" t="e">
        <f>VLOOKUP(B597,DAY!$C$2:$D$7,2,FALSE)</f>
        <v>#N/A</v>
      </c>
      <c r="I597" s="52">
        <f t="shared" si="215"/>
        <v>1</v>
      </c>
      <c r="K597" s="52" t="str">
        <f t="shared" si="216"/>
        <v xml:space="preserve">-  </v>
      </c>
      <c r="L597" s="52" t="str">
        <f t="shared" si="217"/>
        <v xml:space="preserve"> --</v>
      </c>
      <c r="M597" s="52" t="str">
        <f t="shared" si="218"/>
        <v>- -</v>
      </c>
      <c r="N597" s="19"/>
      <c r="O597" s="52" t="e">
        <f t="shared" si="219"/>
        <v>#N/A</v>
      </c>
      <c r="P597" s="52" t="e">
        <f t="shared" si="220"/>
        <v>#N/A</v>
      </c>
    </row>
    <row r="598" spans="1:16" x14ac:dyDescent="0.4">
      <c r="C598" s="49" t="e">
        <f>VLOOKUP(B598,DAY!$C$2:$D$7,2,FALSE)</f>
        <v>#N/A</v>
      </c>
      <c r="I598" s="52">
        <f t="shared" si="215"/>
        <v>1</v>
      </c>
      <c r="K598" s="52" t="str">
        <f t="shared" si="216"/>
        <v xml:space="preserve">-  </v>
      </c>
      <c r="L598" s="52" t="str">
        <f t="shared" si="217"/>
        <v xml:space="preserve"> --</v>
      </c>
      <c r="M598" s="52" t="str">
        <f t="shared" si="218"/>
        <v>- -</v>
      </c>
      <c r="N598" s="19"/>
      <c r="O598" s="52" t="e">
        <f t="shared" si="219"/>
        <v>#N/A</v>
      </c>
      <c r="P598" s="52" t="e">
        <f t="shared" si="220"/>
        <v>#N/A</v>
      </c>
    </row>
    <row r="599" spans="1:16" x14ac:dyDescent="0.4">
      <c r="C599" s="49" t="e">
        <f>VLOOKUP(B599,DAY!$C$2:$D$7,2,FALSE)</f>
        <v>#N/A</v>
      </c>
      <c r="I599" s="52">
        <f t="shared" si="215"/>
        <v>1</v>
      </c>
      <c r="K599" s="52" t="str">
        <f t="shared" si="216"/>
        <v xml:space="preserve">-  </v>
      </c>
      <c r="L599" s="52" t="str">
        <f t="shared" si="217"/>
        <v xml:space="preserve"> --</v>
      </c>
      <c r="M599" s="52" t="str">
        <f t="shared" si="218"/>
        <v>- -</v>
      </c>
      <c r="N599" s="19"/>
      <c r="O599" s="52" t="e">
        <f t="shared" si="219"/>
        <v>#N/A</v>
      </c>
      <c r="P599" s="52" t="e">
        <f t="shared" si="220"/>
        <v>#N/A</v>
      </c>
    </row>
    <row r="600" spans="1:16" ht="21.6" thickBot="1" x14ac:dyDescent="0.45">
      <c r="C600" s="49" t="e">
        <f>VLOOKUP(B600,DAY!$C$2:$D$7,2,FALSE)</f>
        <v>#N/A</v>
      </c>
      <c r="I600" s="52">
        <f t="shared" si="215"/>
        <v>1</v>
      </c>
      <c r="K600" s="52" t="str">
        <f t="shared" si="216"/>
        <v xml:space="preserve">-  </v>
      </c>
      <c r="L600" s="52" t="str">
        <f t="shared" si="217"/>
        <v xml:space="preserve"> --</v>
      </c>
      <c r="M600" s="52" t="str">
        <f t="shared" si="218"/>
        <v>- -</v>
      </c>
      <c r="N600" s="19"/>
      <c r="O600" s="52" t="e">
        <f t="shared" si="219"/>
        <v>#N/A</v>
      </c>
      <c r="P600" s="52" t="e">
        <f t="shared" si="220"/>
        <v>#N/A</v>
      </c>
    </row>
    <row r="601" spans="1:16" s="22" customFormat="1" ht="21.6" thickBot="1" x14ac:dyDescent="0.45">
      <c r="A601" s="28"/>
      <c r="C601" s="51"/>
      <c r="D601" s="29"/>
      <c r="E601" s="30"/>
      <c r="F601" s="30"/>
      <c r="G601" s="30"/>
      <c r="H601" s="30"/>
      <c r="I601" s="53"/>
      <c r="K601" s="53"/>
      <c r="L601" s="53"/>
      <c r="M601" s="53"/>
      <c r="O601" s="53"/>
      <c r="P601" s="53"/>
    </row>
  </sheetData>
  <protectedRanges>
    <protectedRange algorithmName="SHA-512" hashValue="Bk7DWpw5H9UefK1cS/aIbmibBaH6XJ3ASOoAoUmG9lEQ73x0pnBE3DjIcI+W3zN/eNoB0JGldDyw/eA+ait4og==" saltValue="MiukuFEHsmuYkG46NIDB7g==" spinCount="100000" sqref="C1:C1048576" name="Range1"/>
  </protectedRanges>
  <sortState ref="A2:I573">
    <sortCondition ref="A2:A573"/>
    <sortCondition ref="C2:C573"/>
    <sortCondition ref="D2:D573"/>
  </sortState>
  <conditionalFormatting sqref="O238">
    <cfRule type="duplicateValues" dxfId="51" priority="49"/>
  </conditionalFormatting>
  <conditionalFormatting sqref="P238">
    <cfRule type="duplicateValues" dxfId="50" priority="50"/>
  </conditionalFormatting>
  <conditionalFormatting sqref="O237">
    <cfRule type="duplicateValues" dxfId="49" priority="47"/>
  </conditionalFormatting>
  <conditionalFormatting sqref="P237">
    <cfRule type="duplicateValues" dxfId="48" priority="48"/>
  </conditionalFormatting>
  <conditionalFormatting sqref="O244">
    <cfRule type="duplicateValues" dxfId="47" priority="45"/>
  </conditionalFormatting>
  <conditionalFormatting sqref="P244">
    <cfRule type="duplicateValues" dxfId="46" priority="46"/>
  </conditionalFormatting>
  <conditionalFormatting sqref="O265">
    <cfRule type="duplicateValues" dxfId="45" priority="43"/>
  </conditionalFormatting>
  <conditionalFormatting sqref="P265">
    <cfRule type="duplicateValues" dxfId="44" priority="44"/>
  </conditionalFormatting>
  <conditionalFormatting sqref="O266">
    <cfRule type="duplicateValues" dxfId="43" priority="41"/>
  </conditionalFormatting>
  <conditionalFormatting sqref="P266">
    <cfRule type="duplicateValues" dxfId="42" priority="42"/>
  </conditionalFormatting>
  <conditionalFormatting sqref="O280">
    <cfRule type="duplicateValues" dxfId="41" priority="39"/>
  </conditionalFormatting>
  <conditionalFormatting sqref="P280">
    <cfRule type="duplicateValues" dxfId="40" priority="40"/>
  </conditionalFormatting>
  <conditionalFormatting sqref="O316">
    <cfRule type="duplicateValues" dxfId="39" priority="37"/>
  </conditionalFormatting>
  <conditionalFormatting sqref="P316">
    <cfRule type="duplicateValues" dxfId="38" priority="38"/>
  </conditionalFormatting>
  <conditionalFormatting sqref="O315">
    <cfRule type="duplicateValues" dxfId="37" priority="35"/>
  </conditionalFormatting>
  <conditionalFormatting sqref="P315">
    <cfRule type="duplicateValues" dxfId="36" priority="36"/>
  </conditionalFormatting>
  <conditionalFormatting sqref="O319">
    <cfRule type="duplicateValues" dxfId="35" priority="33"/>
  </conditionalFormatting>
  <conditionalFormatting sqref="P319">
    <cfRule type="duplicateValues" dxfId="34" priority="34"/>
  </conditionalFormatting>
  <conditionalFormatting sqref="O323">
    <cfRule type="duplicateValues" dxfId="33" priority="31"/>
  </conditionalFormatting>
  <conditionalFormatting sqref="P323">
    <cfRule type="duplicateValues" dxfId="32" priority="32"/>
  </conditionalFormatting>
  <conditionalFormatting sqref="O321">
    <cfRule type="duplicateValues" dxfId="31" priority="29"/>
  </conditionalFormatting>
  <conditionalFormatting sqref="P321">
    <cfRule type="duplicateValues" dxfId="30" priority="30"/>
  </conditionalFormatting>
  <conditionalFormatting sqref="O322">
    <cfRule type="duplicateValues" dxfId="29" priority="27"/>
  </conditionalFormatting>
  <conditionalFormatting sqref="P322">
    <cfRule type="duplicateValues" dxfId="28" priority="28"/>
  </conditionalFormatting>
  <conditionalFormatting sqref="O331">
    <cfRule type="duplicateValues" dxfId="27" priority="25"/>
  </conditionalFormatting>
  <conditionalFormatting sqref="P331">
    <cfRule type="duplicateValues" dxfId="26" priority="26"/>
  </conditionalFormatting>
  <conditionalFormatting sqref="O330">
    <cfRule type="duplicateValues" dxfId="25" priority="23"/>
  </conditionalFormatting>
  <conditionalFormatting sqref="P330">
    <cfRule type="duplicateValues" dxfId="24" priority="24"/>
  </conditionalFormatting>
  <conditionalFormatting sqref="O364">
    <cfRule type="duplicateValues" dxfId="23" priority="21"/>
  </conditionalFormatting>
  <conditionalFormatting sqref="P364">
    <cfRule type="duplicateValues" dxfId="22" priority="22"/>
  </conditionalFormatting>
  <conditionalFormatting sqref="O363">
    <cfRule type="duplicateValues" dxfId="21" priority="19"/>
  </conditionalFormatting>
  <conditionalFormatting sqref="P363">
    <cfRule type="duplicateValues" dxfId="20" priority="20"/>
  </conditionalFormatting>
  <conditionalFormatting sqref="O362">
    <cfRule type="duplicateValues" dxfId="19" priority="17"/>
  </conditionalFormatting>
  <conditionalFormatting sqref="P362">
    <cfRule type="duplicateValues" dxfId="18" priority="18"/>
  </conditionalFormatting>
  <conditionalFormatting sqref="O361">
    <cfRule type="duplicateValues" dxfId="17" priority="15"/>
  </conditionalFormatting>
  <conditionalFormatting sqref="P361">
    <cfRule type="duplicateValues" dxfId="16" priority="16"/>
  </conditionalFormatting>
  <conditionalFormatting sqref="O525">
    <cfRule type="duplicateValues" dxfId="15" priority="13"/>
  </conditionalFormatting>
  <conditionalFormatting sqref="P525">
    <cfRule type="duplicateValues" dxfId="14" priority="14"/>
  </conditionalFormatting>
  <conditionalFormatting sqref="O565:O587">
    <cfRule type="duplicateValues" dxfId="13" priority="182"/>
  </conditionalFormatting>
  <conditionalFormatting sqref="P565:P587">
    <cfRule type="duplicateValues" dxfId="12" priority="183"/>
  </conditionalFormatting>
  <conditionalFormatting sqref="O526:O531 O2:O236 O239:O243 O245:O264 O267:O279 O281:O314 O317:O318 O320 O324:O329 O332:O360 O365:O524 O547:O564 O533:O545">
    <cfRule type="duplicateValues" dxfId="11" priority="197"/>
  </conditionalFormatting>
  <conditionalFormatting sqref="P526:P531 P2:P236 P239:P243 P245:P264 P267:P279 P281:P314 P317:P318 P320 P324:P329 P332:P360 P365:P524 P547:P564 P533:P545">
    <cfRule type="duplicateValues" dxfId="10" priority="209"/>
  </conditionalFormatting>
  <conditionalFormatting sqref="O546">
    <cfRule type="duplicateValues" dxfId="9" priority="11"/>
  </conditionalFormatting>
  <conditionalFormatting sqref="P546">
    <cfRule type="duplicateValues" dxfId="8" priority="12"/>
  </conditionalFormatting>
  <conditionalFormatting sqref="O532">
    <cfRule type="duplicateValues" dxfId="7" priority="9"/>
  </conditionalFormatting>
  <conditionalFormatting sqref="P532">
    <cfRule type="duplicateValues" dxfId="6" priority="10"/>
  </conditionalFormatting>
  <conditionalFormatting sqref="O588">
    <cfRule type="duplicateValues" dxfId="5" priority="5"/>
  </conditionalFormatting>
  <conditionalFormatting sqref="P588">
    <cfRule type="duplicateValues" dxfId="4" priority="6"/>
  </conditionalFormatting>
  <conditionalFormatting sqref="O2:P588">
    <cfRule type="duplicateValues" dxfId="3" priority="4"/>
  </conditionalFormatting>
  <conditionalFormatting sqref="O589:O600">
    <cfRule type="duplicateValues" dxfId="2" priority="2"/>
  </conditionalFormatting>
  <conditionalFormatting sqref="P589:P600">
    <cfRule type="duplicateValues" dxfId="1" priority="3"/>
  </conditionalFormatting>
  <conditionalFormatting sqref="O589:P600">
    <cfRule type="duplicateValues" dxfId="0" priority="1"/>
  </conditionalFormatting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H22"/>
  <sheetViews>
    <sheetView view="pageBreakPreview" zoomScale="90" zoomScaleSheetLayoutView="90" workbookViewId="0">
      <selection sqref="A1:XFD1048576"/>
    </sheetView>
  </sheetViews>
  <sheetFormatPr defaultColWidth="8.88671875" defaultRowHeight="14.4" x14ac:dyDescent="0.3"/>
  <cols>
    <col min="1" max="1" width="4.109375" customWidth="1"/>
    <col min="2" max="2" width="15.6640625" customWidth="1"/>
    <col min="3" max="8" width="20.6640625" customWidth="1"/>
  </cols>
  <sheetData>
    <row r="1" spans="1:8" ht="23.4" x14ac:dyDescent="0.3">
      <c r="A1" s="80" t="str">
        <f>DASHBOARD!$C$4</f>
        <v>ABC COLLEGE</v>
      </c>
      <c r="B1" s="80"/>
      <c r="C1" s="80"/>
      <c r="D1" s="80"/>
      <c r="E1" s="80"/>
      <c r="F1" s="80"/>
      <c r="G1" s="80"/>
      <c r="H1" s="80"/>
    </row>
    <row r="2" spans="1:8" ht="18" x14ac:dyDescent="0.3">
      <c r="A2" s="79" t="str">
        <f>DASHBOARD!$C$6</f>
        <v>COMPUTER ENGG.</v>
      </c>
      <c r="B2" s="79"/>
      <c r="C2" s="79"/>
      <c r="D2" s="79"/>
      <c r="E2" s="79"/>
      <c r="F2" s="79"/>
      <c r="G2" s="79"/>
      <c r="H2" s="79"/>
    </row>
    <row r="3" spans="1:8" ht="18" x14ac:dyDescent="0.3">
      <c r="A3" s="79" t="s">
        <v>68</v>
      </c>
      <c r="B3" s="79"/>
      <c r="C3" s="79"/>
      <c r="D3" s="79"/>
      <c r="E3" s="79"/>
      <c r="F3" s="79"/>
      <c r="G3" s="79"/>
      <c r="H3" s="79"/>
    </row>
    <row r="4" spans="1:8" ht="18" x14ac:dyDescent="0.3">
      <c r="A4" s="81" t="s">
        <v>47</v>
      </c>
      <c r="B4" s="82"/>
      <c r="C4" s="82"/>
      <c r="D4" s="83"/>
      <c r="E4" s="84" t="s">
        <v>120</v>
      </c>
      <c r="F4" s="84"/>
      <c r="G4" s="85" t="s">
        <v>98</v>
      </c>
      <c r="H4" s="85"/>
    </row>
    <row r="5" spans="1:8" x14ac:dyDescent="0.3">
      <c r="A5" s="86"/>
      <c r="B5" s="86"/>
      <c r="C5" s="86"/>
      <c r="D5" s="86"/>
      <c r="E5" s="87"/>
      <c r="F5" s="88"/>
      <c r="G5" s="88"/>
      <c r="H5" s="89"/>
    </row>
    <row r="6" spans="1:8" ht="15.6" x14ac:dyDescent="0.3">
      <c r="A6" s="70"/>
      <c r="B6" s="55" t="s">
        <v>54</v>
      </c>
      <c r="C6" s="55" t="s">
        <v>55</v>
      </c>
      <c r="D6" s="55" t="s">
        <v>56</v>
      </c>
      <c r="E6" s="55" t="s">
        <v>57</v>
      </c>
      <c r="F6" s="55" t="s">
        <v>69</v>
      </c>
      <c r="G6" s="55" t="s">
        <v>58</v>
      </c>
      <c r="H6" s="55" t="s">
        <v>59</v>
      </c>
    </row>
    <row r="7" spans="1:8" ht="40.200000000000003" customHeight="1" x14ac:dyDescent="0.3">
      <c r="A7" s="70">
        <v>1</v>
      </c>
      <c r="B7" s="56" t="s">
        <v>112</v>
      </c>
      <c r="C7" s="57"/>
      <c r="D7" s="57"/>
      <c r="E7" s="57"/>
      <c r="F7" s="57"/>
      <c r="G7" s="57"/>
      <c r="H7" s="57"/>
    </row>
    <row r="8" spans="1:8" ht="40.200000000000003" customHeight="1" x14ac:dyDescent="0.3">
      <c r="A8" s="70">
        <v>2</v>
      </c>
      <c r="B8" s="56" t="s">
        <v>113</v>
      </c>
      <c r="C8" s="57"/>
      <c r="D8" s="57"/>
      <c r="E8" s="57"/>
      <c r="F8" s="57"/>
      <c r="G8" s="57"/>
      <c r="H8" s="57"/>
    </row>
    <row r="9" spans="1:8" ht="40.200000000000003" customHeight="1" x14ac:dyDescent="0.3">
      <c r="A9" s="70">
        <v>3</v>
      </c>
      <c r="B9" s="56" t="s">
        <v>114</v>
      </c>
      <c r="C9" s="57"/>
      <c r="D9" s="57"/>
      <c r="E9" s="57"/>
      <c r="F9" s="57"/>
      <c r="G9" s="57"/>
      <c r="H9" s="57"/>
    </row>
    <row r="10" spans="1:8" ht="40.200000000000003" customHeight="1" x14ac:dyDescent="0.3">
      <c r="A10" s="70">
        <v>4</v>
      </c>
      <c r="B10" s="56" t="s">
        <v>115</v>
      </c>
      <c r="C10" s="57"/>
      <c r="D10" s="57"/>
      <c r="E10" s="57"/>
      <c r="F10" s="57"/>
      <c r="G10" s="57"/>
      <c r="H10" s="57"/>
    </row>
    <row r="11" spans="1:8" ht="40.200000000000003" customHeight="1" x14ac:dyDescent="0.3">
      <c r="A11" s="70">
        <v>5</v>
      </c>
      <c r="B11" s="56" t="s">
        <v>60</v>
      </c>
      <c r="C11" s="57"/>
      <c r="D11" s="57"/>
      <c r="E11" s="57"/>
      <c r="F11" s="57"/>
      <c r="G11" s="57"/>
      <c r="H11" s="57"/>
    </row>
    <row r="12" spans="1:8" ht="40.200000000000003" customHeight="1" x14ac:dyDescent="0.3">
      <c r="A12" s="70">
        <v>6</v>
      </c>
      <c r="B12" s="56" t="s">
        <v>61</v>
      </c>
      <c r="C12" s="57"/>
      <c r="D12" s="57"/>
      <c r="E12" s="57"/>
      <c r="F12" s="57"/>
      <c r="G12" s="57"/>
      <c r="H12" s="57"/>
    </row>
    <row r="13" spans="1:8" x14ac:dyDescent="0.3">
      <c r="A13" s="1"/>
      <c r="B13" s="1"/>
      <c r="C13" s="1"/>
      <c r="D13" s="1"/>
      <c r="E13" s="1"/>
      <c r="F13" s="1"/>
      <c r="G13" s="1"/>
      <c r="H13" s="1"/>
    </row>
    <row r="14" spans="1:8" ht="15.6" x14ac:dyDescent="0.3">
      <c r="A14" s="104"/>
      <c r="B14" s="105"/>
      <c r="C14" s="105"/>
      <c r="D14" s="106"/>
      <c r="E14" s="105"/>
      <c r="F14" s="107"/>
      <c r="G14" s="112" t="s">
        <v>66</v>
      </c>
      <c r="H14" s="112"/>
    </row>
    <row r="15" spans="1:8" ht="15.6" x14ac:dyDescent="0.3">
      <c r="A15" s="104"/>
      <c r="B15" s="108"/>
      <c r="C15" s="109"/>
      <c r="D15" s="110"/>
      <c r="E15" s="105"/>
      <c r="F15" s="105"/>
      <c r="G15" s="112"/>
      <c r="H15" s="112"/>
    </row>
    <row r="16" spans="1:8" ht="15.6" x14ac:dyDescent="0.3">
      <c r="A16" s="104"/>
      <c r="B16" s="108"/>
      <c r="C16" s="109"/>
      <c r="D16" s="110"/>
      <c r="E16" s="105"/>
      <c r="F16" s="105"/>
      <c r="G16" s="112"/>
      <c r="H16" s="112"/>
    </row>
    <row r="17" spans="1:8" ht="15.6" x14ac:dyDescent="0.3">
      <c r="A17" s="104"/>
      <c r="B17" s="108"/>
      <c r="C17" s="109"/>
      <c r="D17" s="110"/>
      <c r="E17" s="105"/>
      <c r="F17" s="105"/>
      <c r="G17" s="112"/>
      <c r="H17" s="112"/>
    </row>
    <row r="18" spans="1:8" ht="15.6" x14ac:dyDescent="0.3">
      <c r="A18" s="104"/>
      <c r="B18" s="108"/>
      <c r="C18" s="109"/>
      <c r="D18" s="110"/>
      <c r="E18" s="105"/>
      <c r="F18" s="105"/>
      <c r="G18" s="112"/>
      <c r="H18" s="112"/>
    </row>
    <row r="19" spans="1:8" ht="15.6" x14ac:dyDescent="0.3">
      <c r="A19" s="104"/>
      <c r="B19" s="108"/>
      <c r="C19" s="109"/>
      <c r="D19" s="110"/>
      <c r="E19" s="105"/>
      <c r="F19" s="105"/>
      <c r="G19" s="112"/>
      <c r="H19" s="112"/>
    </row>
    <row r="20" spans="1:8" ht="15.6" x14ac:dyDescent="0.3">
      <c r="A20" s="104"/>
      <c r="B20" s="108"/>
      <c r="C20" s="109"/>
      <c r="D20" s="110"/>
      <c r="E20" s="105"/>
      <c r="F20" s="105"/>
      <c r="G20" s="112"/>
      <c r="H20" s="112"/>
    </row>
    <row r="21" spans="1:8" ht="15.6" x14ac:dyDescent="0.3">
      <c r="A21" s="104"/>
      <c r="B21" s="108"/>
      <c r="C21" s="109"/>
      <c r="D21" s="110"/>
      <c r="E21" s="105"/>
      <c r="F21" s="105"/>
      <c r="G21" s="112"/>
      <c r="H21" s="112"/>
    </row>
    <row r="22" spans="1:8" x14ac:dyDescent="0.3">
      <c r="B22" s="111"/>
      <c r="C22" s="111"/>
      <c r="D22" s="111"/>
      <c r="E22" s="111"/>
      <c r="F22" s="111"/>
    </row>
  </sheetData>
  <mergeCells count="9">
    <mergeCell ref="A2:H2"/>
    <mergeCell ref="G14:H21"/>
    <mergeCell ref="A1:H1"/>
    <mergeCell ref="A3:H3"/>
    <mergeCell ref="A4:D4"/>
    <mergeCell ref="E4:F4"/>
    <mergeCell ref="G4:H4"/>
    <mergeCell ref="A5:D5"/>
    <mergeCell ref="E5:H5"/>
  </mergeCells>
  <pageMargins left="0.7" right="0.7" top="0.75" bottom="0.75" header="0.3" footer="0.3"/>
  <pageSetup scale="81"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1"/>
  <dimension ref="B1:I24"/>
  <sheetViews>
    <sheetView view="pageBreakPreview" zoomScaleSheetLayoutView="100" workbookViewId="0">
      <selection sqref="A1:XFD1048576"/>
    </sheetView>
  </sheetViews>
  <sheetFormatPr defaultColWidth="8.88671875" defaultRowHeight="14.4" x14ac:dyDescent="0.3"/>
  <cols>
    <col min="1" max="1" width="2.6640625" customWidth="1"/>
    <col min="2" max="2" width="4.6640625" customWidth="1"/>
    <col min="3" max="3" width="20.6640625" customWidth="1"/>
    <col min="4" max="9" width="16.6640625" customWidth="1"/>
  </cols>
  <sheetData>
    <row r="1" spans="2:9" ht="15" thickBot="1" x14ac:dyDescent="0.35"/>
    <row r="2" spans="2:9" ht="26.4" thickBot="1" x14ac:dyDescent="0.55000000000000004">
      <c r="B2" s="91" t="str">
        <f>DASHBOARD!$C$4</f>
        <v>ABC COLLEGE</v>
      </c>
      <c r="C2" s="92"/>
      <c r="D2" s="92"/>
      <c r="E2" s="92"/>
      <c r="F2" s="92"/>
      <c r="G2" s="92"/>
      <c r="H2" s="92"/>
      <c r="I2" s="93"/>
    </row>
    <row r="3" spans="2:9" ht="21.6" thickBot="1" x14ac:dyDescent="0.45">
      <c r="B3" s="94" t="str">
        <f>DASHBOARD!$C$6</f>
        <v>COMPUTER ENGG.</v>
      </c>
      <c r="C3" s="95"/>
      <c r="D3" s="95"/>
      <c r="E3" s="95"/>
      <c r="F3" s="95"/>
      <c r="G3" s="95"/>
      <c r="H3" s="95"/>
      <c r="I3" s="96"/>
    </row>
    <row r="4" spans="2:9" ht="26.4" thickBot="1" x14ac:dyDescent="0.55000000000000004">
      <c r="B4" s="91"/>
      <c r="C4" s="97"/>
      <c r="D4" s="97"/>
      <c r="E4" s="97"/>
      <c r="F4" s="97"/>
      <c r="G4" s="97"/>
      <c r="H4" s="97"/>
      <c r="I4" s="98"/>
    </row>
    <row r="5" spans="2:9" ht="47.4" thickBot="1" x14ac:dyDescent="0.35">
      <c r="B5" s="99" t="str">
        <f>DASHBOARD!C8</f>
        <v>ODD SEM 2019</v>
      </c>
      <c r="C5" s="100"/>
      <c r="D5" s="15" t="s">
        <v>102</v>
      </c>
      <c r="E5" s="101" t="s">
        <v>99</v>
      </c>
      <c r="F5" s="102"/>
      <c r="G5" s="15" t="s">
        <v>101</v>
      </c>
      <c r="H5" s="15" t="s">
        <v>100</v>
      </c>
      <c r="I5" s="13"/>
    </row>
    <row r="6" spans="2:9" ht="21" x14ac:dyDescent="0.4">
      <c r="B6" s="103"/>
      <c r="C6" s="103"/>
      <c r="D6" s="103"/>
      <c r="E6" s="103"/>
      <c r="F6" s="103"/>
      <c r="G6" s="103"/>
      <c r="H6" s="103"/>
      <c r="I6" s="103"/>
    </row>
    <row r="7" spans="2:9" ht="21" x14ac:dyDescent="0.4">
      <c r="B7" s="58"/>
      <c r="C7" s="58"/>
      <c r="D7" s="59">
        <v>0</v>
      </c>
      <c r="E7" s="59">
        <v>1</v>
      </c>
      <c r="F7" s="59">
        <v>2</v>
      </c>
      <c r="G7" s="59">
        <v>3</v>
      </c>
      <c r="H7" s="59">
        <v>4</v>
      </c>
      <c r="I7" s="59">
        <v>5</v>
      </c>
    </row>
    <row r="8" spans="2:9" ht="18" x14ac:dyDescent="0.35">
      <c r="B8" s="60"/>
      <c r="C8" s="61" t="s">
        <v>54</v>
      </c>
      <c r="D8" s="61" t="s">
        <v>55</v>
      </c>
      <c r="E8" s="61" t="s">
        <v>56</v>
      </c>
      <c r="F8" s="61" t="s">
        <v>57</v>
      </c>
      <c r="G8" s="61" t="s">
        <v>69</v>
      </c>
      <c r="H8" s="61" t="s">
        <v>58</v>
      </c>
      <c r="I8" s="62" t="s">
        <v>59</v>
      </c>
    </row>
    <row r="9" spans="2:9" ht="49.95" customHeight="1" x14ac:dyDescent="0.3">
      <c r="B9" s="63">
        <v>1</v>
      </c>
      <c r="C9" s="61" t="s">
        <v>112</v>
      </c>
      <c r="D9" s="57"/>
      <c r="E9" s="57"/>
      <c r="F9" s="57"/>
      <c r="G9" s="57"/>
      <c r="H9" s="57"/>
      <c r="I9" s="64"/>
    </row>
    <row r="10" spans="2:9" ht="49.95" customHeight="1" x14ac:dyDescent="0.3">
      <c r="B10" s="63">
        <v>2</v>
      </c>
      <c r="C10" s="61" t="s">
        <v>113</v>
      </c>
      <c r="D10" s="57"/>
      <c r="E10" s="57"/>
      <c r="F10" s="57"/>
      <c r="G10" s="57"/>
      <c r="H10" s="57"/>
      <c r="I10" s="64"/>
    </row>
    <row r="11" spans="2:9" ht="49.95" customHeight="1" x14ac:dyDescent="0.3">
      <c r="B11" s="63">
        <v>3</v>
      </c>
      <c r="C11" s="61" t="s">
        <v>114</v>
      </c>
      <c r="D11" s="57"/>
      <c r="E11" s="57"/>
      <c r="F11" s="57"/>
      <c r="G11" s="57"/>
      <c r="H11" s="57"/>
      <c r="I11" s="64"/>
    </row>
    <row r="12" spans="2:9" ht="49.95" customHeight="1" x14ac:dyDescent="0.3">
      <c r="B12" s="63">
        <v>4</v>
      </c>
      <c r="C12" s="61" t="s">
        <v>115</v>
      </c>
      <c r="D12" s="57"/>
      <c r="E12" s="57"/>
      <c r="F12" s="57"/>
      <c r="G12" s="57"/>
      <c r="H12" s="57"/>
      <c r="I12" s="64"/>
    </row>
    <row r="13" spans="2:9" ht="49.95" customHeight="1" x14ac:dyDescent="0.3">
      <c r="B13" s="63">
        <v>5</v>
      </c>
      <c r="C13" s="61" t="s">
        <v>60</v>
      </c>
      <c r="D13" s="57"/>
      <c r="E13" s="57"/>
      <c r="F13" s="57"/>
      <c r="G13" s="57"/>
      <c r="H13" s="57"/>
      <c r="I13" s="64"/>
    </row>
    <row r="14" spans="2:9" ht="49.95" customHeight="1" x14ac:dyDescent="0.3">
      <c r="B14" s="63">
        <v>6</v>
      </c>
      <c r="C14" s="61" t="s">
        <v>61</v>
      </c>
      <c r="D14" s="65"/>
      <c r="E14" s="65"/>
      <c r="F14" s="65"/>
      <c r="G14" s="65"/>
      <c r="H14" s="65"/>
      <c r="I14" s="65"/>
    </row>
    <row r="15" spans="2:9" ht="18" x14ac:dyDescent="0.35">
      <c r="B15" s="4"/>
    </row>
    <row r="16" spans="2:9" ht="18" x14ac:dyDescent="0.35">
      <c r="B16" s="7"/>
      <c r="C16" s="8" t="s">
        <v>62</v>
      </c>
      <c r="D16" s="8" t="s">
        <v>63</v>
      </c>
      <c r="E16" s="8" t="s">
        <v>64</v>
      </c>
      <c r="F16" s="8" t="s">
        <v>65</v>
      </c>
      <c r="G16" s="90" t="s">
        <v>66</v>
      </c>
      <c r="H16" s="90"/>
      <c r="I16" s="90"/>
    </row>
    <row r="17" spans="2:9" ht="18" x14ac:dyDescent="0.35">
      <c r="B17" s="2">
        <v>1</v>
      </c>
      <c r="C17" s="2"/>
      <c r="D17" s="6">
        <v>0</v>
      </c>
      <c r="E17" s="6">
        <v>0</v>
      </c>
      <c r="F17" s="6">
        <f>D17+E17</f>
        <v>0</v>
      </c>
      <c r="G17" s="90"/>
      <c r="H17" s="90"/>
      <c r="I17" s="90"/>
    </row>
    <row r="18" spans="2:9" ht="18" x14ac:dyDescent="0.35">
      <c r="B18" s="2">
        <v>2</v>
      </c>
      <c r="C18" s="2"/>
      <c r="D18" s="6">
        <v>0</v>
      </c>
      <c r="E18" s="6">
        <v>0</v>
      </c>
      <c r="F18" s="6">
        <f t="shared" ref="F18:F23" si="0">D18+E18</f>
        <v>0</v>
      </c>
      <c r="G18" s="90"/>
      <c r="H18" s="90"/>
      <c r="I18" s="90"/>
    </row>
    <row r="19" spans="2:9" ht="18" x14ac:dyDescent="0.35">
      <c r="B19" s="2">
        <v>3</v>
      </c>
      <c r="C19" s="2"/>
      <c r="D19" s="6">
        <v>0</v>
      </c>
      <c r="E19" s="6">
        <v>0</v>
      </c>
      <c r="F19" s="6">
        <f t="shared" si="0"/>
        <v>0</v>
      </c>
      <c r="G19" s="90"/>
      <c r="H19" s="90"/>
      <c r="I19" s="90"/>
    </row>
    <row r="20" spans="2:9" ht="18" x14ac:dyDescent="0.35">
      <c r="B20" s="2">
        <v>4</v>
      </c>
      <c r="C20" s="2"/>
      <c r="D20" s="6">
        <v>0</v>
      </c>
      <c r="E20" s="6">
        <v>0</v>
      </c>
      <c r="F20" s="6">
        <f t="shared" si="0"/>
        <v>0</v>
      </c>
      <c r="G20" s="90"/>
      <c r="H20" s="90"/>
      <c r="I20" s="90"/>
    </row>
    <row r="21" spans="2:9" ht="18" x14ac:dyDescent="0.35">
      <c r="B21" s="2">
        <v>5</v>
      </c>
      <c r="C21" s="2"/>
      <c r="D21" s="6">
        <v>0</v>
      </c>
      <c r="E21" s="6">
        <v>0</v>
      </c>
      <c r="F21" s="6">
        <f t="shared" si="0"/>
        <v>0</v>
      </c>
      <c r="G21" s="90"/>
      <c r="H21" s="90"/>
      <c r="I21" s="90"/>
    </row>
    <row r="22" spans="2:9" ht="18" x14ac:dyDescent="0.35">
      <c r="B22" s="2">
        <v>6</v>
      </c>
      <c r="C22" s="3"/>
      <c r="D22" s="6">
        <v>0</v>
      </c>
      <c r="E22" s="6">
        <v>0</v>
      </c>
      <c r="F22" s="6">
        <f t="shared" si="0"/>
        <v>0</v>
      </c>
      <c r="G22" s="90"/>
      <c r="H22" s="90"/>
      <c r="I22" s="90"/>
    </row>
    <row r="23" spans="2:9" ht="18" x14ac:dyDescent="0.35">
      <c r="B23" s="9">
        <v>7</v>
      </c>
      <c r="C23" s="10"/>
      <c r="D23" s="6">
        <v>0</v>
      </c>
      <c r="E23" s="6">
        <v>0</v>
      </c>
      <c r="F23" s="6">
        <f t="shared" si="0"/>
        <v>0</v>
      </c>
      <c r="G23" s="90"/>
      <c r="H23" s="90"/>
      <c r="I23" s="90"/>
    </row>
    <row r="24" spans="2:9" x14ac:dyDescent="0.3">
      <c r="B24" s="11" t="s">
        <v>67</v>
      </c>
      <c r="C24" s="11"/>
      <c r="D24" s="21">
        <f>SUM(D17:D23)</f>
        <v>0</v>
      </c>
      <c r="E24" s="21">
        <f>SUM(E17:E23)</f>
        <v>0</v>
      </c>
      <c r="F24" s="12">
        <f>D24+E24</f>
        <v>0</v>
      </c>
      <c r="G24" s="14"/>
      <c r="H24" s="5"/>
      <c r="I24" s="5"/>
    </row>
  </sheetData>
  <mergeCells count="8">
    <mergeCell ref="G16:I23"/>
    <mergeCell ref="B2:I2"/>
    <mergeCell ref="B3:I3"/>
    <mergeCell ref="B4:I4"/>
    <mergeCell ref="B5:C5"/>
    <mergeCell ref="E5:F5"/>
    <mergeCell ref="B6:E6"/>
    <mergeCell ref="F6:I6"/>
  </mergeCells>
  <pageMargins left="0.7" right="0.7" top="0.75" bottom="0.75" header="0.3" footer="0.3"/>
  <pageSetup paperSize="9" scale="73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2"/>
  <dimension ref="B1:I15"/>
  <sheetViews>
    <sheetView view="pageBreakPreview" zoomScale="70" zoomScaleSheetLayoutView="70" workbookViewId="0">
      <selection sqref="A1:XFD1048576"/>
    </sheetView>
  </sheetViews>
  <sheetFormatPr defaultColWidth="9.109375" defaultRowHeight="14.4" x14ac:dyDescent="0.3"/>
  <cols>
    <col min="1" max="1" width="2.6640625" customWidth="1"/>
    <col min="2" max="2" width="4.6640625" customWidth="1"/>
    <col min="3" max="3" width="20.6640625" customWidth="1"/>
    <col min="4" max="9" width="16.6640625" customWidth="1"/>
  </cols>
  <sheetData>
    <row r="1" spans="2:9" ht="15" thickBot="1" x14ac:dyDescent="0.35"/>
    <row r="2" spans="2:9" ht="26.4" thickBot="1" x14ac:dyDescent="0.55000000000000004">
      <c r="B2" s="91" t="str">
        <f>DASHBOARD!$C$4</f>
        <v>ABC COLLEGE</v>
      </c>
      <c r="C2" s="92"/>
      <c r="D2" s="92"/>
      <c r="E2" s="92"/>
      <c r="F2" s="92"/>
      <c r="G2" s="92"/>
      <c r="H2" s="92"/>
      <c r="I2" s="93"/>
    </row>
    <row r="3" spans="2:9" ht="21.6" thickBot="1" x14ac:dyDescent="0.45">
      <c r="B3" s="94" t="str">
        <f>DASHBOARD!$C$6</f>
        <v>COMPUTER ENGG.</v>
      </c>
      <c r="C3" s="95"/>
      <c r="D3" s="95"/>
      <c r="E3" s="95"/>
      <c r="F3" s="95"/>
      <c r="G3" s="95"/>
      <c r="H3" s="95"/>
      <c r="I3" s="96"/>
    </row>
    <row r="4" spans="2:9" ht="26.4" thickBot="1" x14ac:dyDescent="0.55000000000000004">
      <c r="B4" s="91"/>
      <c r="C4" s="97"/>
      <c r="D4" s="97"/>
      <c r="E4" s="97"/>
      <c r="F4" s="97"/>
      <c r="G4" s="97"/>
      <c r="H4" s="97"/>
      <c r="I4" s="98"/>
    </row>
    <row r="5" spans="2:9" ht="47.4" thickBot="1" x14ac:dyDescent="0.35">
      <c r="B5" s="99" t="str">
        <f>DASHBOARD!C8</f>
        <v>ODD SEM 2019</v>
      </c>
      <c r="C5" s="100"/>
      <c r="D5" s="15" t="s">
        <v>92</v>
      </c>
      <c r="E5" s="101" t="s">
        <v>89</v>
      </c>
      <c r="F5" s="102"/>
      <c r="G5" s="15" t="s">
        <v>88</v>
      </c>
      <c r="H5" s="15" t="s">
        <v>91</v>
      </c>
      <c r="I5" s="13"/>
    </row>
    <row r="6" spans="2:9" ht="21" x14ac:dyDescent="0.4">
      <c r="B6" s="103"/>
      <c r="C6" s="103"/>
      <c r="D6" s="103"/>
      <c r="E6" s="103"/>
      <c r="F6" s="103"/>
      <c r="G6" s="103"/>
      <c r="H6" s="103"/>
      <c r="I6" s="103"/>
    </row>
    <row r="7" spans="2:9" ht="21" x14ac:dyDescent="0.4">
      <c r="B7" s="58"/>
      <c r="C7" s="58"/>
      <c r="D7" s="59">
        <v>0</v>
      </c>
      <c r="E7" s="59">
        <v>1</v>
      </c>
      <c r="F7" s="59">
        <v>2</v>
      </c>
      <c r="G7" s="59">
        <v>3</v>
      </c>
      <c r="H7" s="59">
        <v>4</v>
      </c>
      <c r="I7" s="59">
        <v>5</v>
      </c>
    </row>
    <row r="8" spans="2:9" ht="18" x14ac:dyDescent="0.35">
      <c r="B8" s="60"/>
      <c r="C8" s="61" t="s">
        <v>54</v>
      </c>
      <c r="D8" s="61" t="s">
        <v>55</v>
      </c>
      <c r="E8" s="61" t="s">
        <v>56</v>
      </c>
      <c r="F8" s="61" t="s">
        <v>57</v>
      </c>
      <c r="G8" s="61" t="s">
        <v>69</v>
      </c>
      <c r="H8" s="61" t="s">
        <v>58</v>
      </c>
      <c r="I8" s="62" t="s">
        <v>59</v>
      </c>
    </row>
    <row r="9" spans="2:9" ht="45" customHeight="1" x14ac:dyDescent="0.3">
      <c r="B9" s="63">
        <v>1</v>
      </c>
      <c r="C9" s="61" t="s">
        <v>112</v>
      </c>
      <c r="D9" s="57"/>
      <c r="E9" s="57"/>
      <c r="F9" s="57"/>
      <c r="G9" s="57"/>
      <c r="H9" s="57"/>
      <c r="I9" s="64"/>
    </row>
    <row r="10" spans="2:9" ht="45" customHeight="1" x14ac:dyDescent="0.3">
      <c r="B10" s="63">
        <v>2</v>
      </c>
      <c r="C10" s="61" t="s">
        <v>113</v>
      </c>
      <c r="D10" s="57"/>
      <c r="E10" s="57"/>
      <c r="F10" s="57"/>
      <c r="G10" s="57"/>
      <c r="H10" s="57"/>
      <c r="I10" s="64"/>
    </row>
    <row r="11" spans="2:9" ht="45" customHeight="1" x14ac:dyDescent="0.3">
      <c r="B11" s="63">
        <v>3</v>
      </c>
      <c r="C11" s="61" t="s">
        <v>114</v>
      </c>
      <c r="D11" s="57"/>
      <c r="E11" s="57"/>
      <c r="F11" s="57"/>
      <c r="G11" s="57"/>
      <c r="H11" s="57"/>
      <c r="I11" s="64"/>
    </row>
    <row r="12" spans="2:9" ht="45" customHeight="1" x14ac:dyDescent="0.3">
      <c r="B12" s="63">
        <v>4</v>
      </c>
      <c r="C12" s="61" t="s">
        <v>115</v>
      </c>
      <c r="D12" s="57"/>
      <c r="E12" s="57"/>
      <c r="F12" s="57"/>
      <c r="G12" s="57"/>
      <c r="H12" s="57"/>
      <c r="I12" s="64"/>
    </row>
    <row r="13" spans="2:9" ht="45" customHeight="1" x14ac:dyDescent="0.3">
      <c r="B13" s="63">
        <v>5</v>
      </c>
      <c r="C13" s="61" t="s">
        <v>60</v>
      </c>
      <c r="D13" s="57"/>
      <c r="E13" s="57"/>
      <c r="F13" s="57"/>
      <c r="G13" s="57"/>
      <c r="H13" s="57"/>
      <c r="I13" s="64"/>
    </row>
    <row r="14" spans="2:9" ht="45" customHeight="1" x14ac:dyDescent="0.3">
      <c r="B14" s="63">
        <v>6</v>
      </c>
      <c r="C14" s="61" t="s">
        <v>61</v>
      </c>
      <c r="D14" s="65"/>
      <c r="E14" s="65"/>
      <c r="F14" s="65"/>
      <c r="G14" s="65"/>
      <c r="H14" s="65"/>
      <c r="I14" s="65"/>
    </row>
    <row r="15" spans="2:9" ht="18" x14ac:dyDescent="0.35">
      <c r="B15" s="4"/>
    </row>
  </sheetData>
  <mergeCells count="7">
    <mergeCell ref="B6:E6"/>
    <mergeCell ref="F6:I6"/>
    <mergeCell ref="B2:I2"/>
    <mergeCell ref="B3:I3"/>
    <mergeCell ref="B4:I4"/>
    <mergeCell ref="B5:C5"/>
    <mergeCell ref="E5:F5"/>
  </mergeCells>
  <pageMargins left="0.7" right="0.7" top="0.75" bottom="0.75" header="0.3" footer="0.3"/>
  <pageSetup scale="81" orientation="landscape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A64DA7-87B8-4A66-91D0-3D9B73C2E946}">
  <dimension ref="B1:I24"/>
  <sheetViews>
    <sheetView topLeftCell="A7" workbookViewId="0">
      <selection activeCell="H11" sqref="H11"/>
    </sheetView>
  </sheetViews>
  <sheetFormatPr defaultColWidth="8.88671875" defaultRowHeight="14.4" x14ac:dyDescent="0.3"/>
  <cols>
    <col min="1" max="1" width="2.6640625" customWidth="1"/>
    <col min="2" max="2" width="4.6640625" customWidth="1"/>
    <col min="3" max="3" width="20.6640625" customWidth="1"/>
    <col min="4" max="9" width="16.6640625" customWidth="1"/>
  </cols>
  <sheetData>
    <row r="1" spans="2:9" ht="15" thickBot="1" x14ac:dyDescent="0.35"/>
    <row r="2" spans="2:9" ht="26.4" thickBot="1" x14ac:dyDescent="0.55000000000000004">
      <c r="B2" s="91" t="str">
        <f>DASHBOARD!$C$4</f>
        <v>ABC COLLEGE</v>
      </c>
      <c r="C2" s="92"/>
      <c r="D2" s="92"/>
      <c r="E2" s="92"/>
      <c r="F2" s="92"/>
      <c r="G2" s="92"/>
      <c r="H2" s="92"/>
      <c r="I2" s="93"/>
    </row>
    <row r="3" spans="2:9" ht="21.6" thickBot="1" x14ac:dyDescent="0.45">
      <c r="B3" s="94" t="str">
        <f>DASHBOARD!$C$6</f>
        <v>COMPUTER ENGG.</v>
      </c>
      <c r="C3" s="95"/>
      <c r="D3" s="95"/>
      <c r="E3" s="95"/>
      <c r="F3" s="95"/>
      <c r="G3" s="95"/>
      <c r="H3" s="95"/>
      <c r="I3" s="96"/>
    </row>
    <row r="4" spans="2:9" ht="26.4" thickBot="1" x14ac:dyDescent="0.55000000000000004">
      <c r="B4" s="91" t="s">
        <v>145</v>
      </c>
      <c r="C4" s="97"/>
      <c r="D4" s="97"/>
      <c r="E4" s="97"/>
      <c r="F4" s="97"/>
      <c r="G4" s="97"/>
      <c r="H4" s="97"/>
      <c r="I4" s="98"/>
    </row>
    <row r="5" spans="2:9" ht="47.4" thickBot="1" x14ac:dyDescent="0.35">
      <c r="B5" s="99" t="str">
        <f>DASHBOARD!C8</f>
        <v>ODD SEM 2019</v>
      </c>
      <c r="C5" s="100"/>
      <c r="D5" s="15" t="s">
        <v>102</v>
      </c>
      <c r="E5" s="101" t="s">
        <v>99</v>
      </c>
      <c r="F5" s="102"/>
      <c r="G5" s="15" t="s">
        <v>101</v>
      </c>
      <c r="H5" s="15" t="s">
        <v>100</v>
      </c>
      <c r="I5" s="13" t="s">
        <v>90</v>
      </c>
    </row>
    <row r="6" spans="2:9" ht="21" x14ac:dyDescent="0.4">
      <c r="B6" s="103"/>
      <c r="C6" s="103"/>
      <c r="D6" s="103"/>
      <c r="E6" s="103"/>
      <c r="F6" s="103"/>
      <c r="G6" s="103"/>
      <c r="H6" s="103"/>
      <c r="I6" s="103"/>
    </row>
    <row r="7" spans="2:9" ht="21" x14ac:dyDescent="0.4">
      <c r="B7" s="58"/>
      <c r="C7" s="58"/>
      <c r="D7" s="59">
        <v>0</v>
      </c>
      <c r="E7" s="59">
        <v>1</v>
      </c>
      <c r="F7" s="59">
        <v>2</v>
      </c>
      <c r="G7" s="59">
        <v>3</v>
      </c>
      <c r="H7" s="59">
        <v>4</v>
      </c>
      <c r="I7" s="59">
        <v>5</v>
      </c>
    </row>
    <row r="8" spans="2:9" ht="18" x14ac:dyDescent="0.35">
      <c r="B8" s="60"/>
      <c r="C8" s="61" t="s">
        <v>54</v>
      </c>
      <c r="D8" s="61" t="s">
        <v>55</v>
      </c>
      <c r="E8" s="61" t="s">
        <v>56</v>
      </c>
      <c r="F8" s="61" t="s">
        <v>57</v>
      </c>
      <c r="G8" s="61" t="s">
        <v>69</v>
      </c>
      <c r="H8" s="61" t="s">
        <v>58</v>
      </c>
      <c r="I8" s="62" t="s">
        <v>59</v>
      </c>
    </row>
    <row r="9" spans="2:9" ht="49.95" customHeight="1" x14ac:dyDescent="0.3">
      <c r="B9" s="63">
        <v>1</v>
      </c>
      <c r="C9" s="61" t="s">
        <v>112</v>
      </c>
      <c r="D9" s="57" t="s">
        <v>151</v>
      </c>
      <c r="E9" s="57"/>
      <c r="F9" s="57"/>
      <c r="G9" s="57"/>
      <c r="H9" s="57"/>
      <c r="I9" s="64"/>
    </row>
    <row r="10" spans="2:9" ht="49.95" customHeight="1" x14ac:dyDescent="0.3">
      <c r="B10" s="63">
        <v>2</v>
      </c>
      <c r="C10" s="61" t="s">
        <v>113</v>
      </c>
      <c r="D10" s="57"/>
      <c r="E10" s="57"/>
      <c r="F10" s="57"/>
      <c r="G10" s="57"/>
      <c r="H10" s="57"/>
      <c r="I10" s="64"/>
    </row>
    <row r="11" spans="2:9" ht="49.95" customHeight="1" x14ac:dyDescent="0.3">
      <c r="B11" s="63">
        <v>3</v>
      </c>
      <c r="C11" s="61" t="s">
        <v>114</v>
      </c>
      <c r="D11" s="57"/>
      <c r="E11" s="57"/>
      <c r="F11" s="57"/>
      <c r="G11" s="57"/>
      <c r="H11" s="57"/>
      <c r="I11" s="64"/>
    </row>
    <row r="12" spans="2:9" ht="49.95" customHeight="1" x14ac:dyDescent="0.3">
      <c r="B12" s="63">
        <v>4</v>
      </c>
      <c r="C12" s="61" t="s">
        <v>115</v>
      </c>
      <c r="D12" s="57"/>
      <c r="E12" s="57"/>
      <c r="F12" s="57"/>
      <c r="G12" s="57"/>
      <c r="H12" s="57"/>
      <c r="I12" s="64"/>
    </row>
    <row r="13" spans="2:9" ht="49.95" customHeight="1" x14ac:dyDescent="0.3">
      <c r="B13" s="63">
        <v>5</v>
      </c>
      <c r="C13" s="61" t="s">
        <v>60</v>
      </c>
      <c r="D13" s="57"/>
      <c r="E13" s="57"/>
      <c r="F13" s="57"/>
      <c r="G13" s="57"/>
      <c r="H13" s="57"/>
      <c r="I13" s="64"/>
    </row>
    <row r="14" spans="2:9" ht="49.95" customHeight="1" x14ac:dyDescent="0.3">
      <c r="B14" s="63">
        <v>6</v>
      </c>
      <c r="C14" s="61" t="s">
        <v>61</v>
      </c>
      <c r="D14" s="65"/>
      <c r="E14" s="65"/>
      <c r="F14" s="65"/>
      <c r="G14" s="65"/>
      <c r="H14" s="65"/>
      <c r="I14" s="65"/>
    </row>
    <row r="15" spans="2:9" ht="18" x14ac:dyDescent="0.35">
      <c r="B15" s="4"/>
    </row>
    <row r="16" spans="2:9" ht="18" x14ac:dyDescent="0.35">
      <c r="B16" s="7"/>
      <c r="C16" s="8" t="s">
        <v>62</v>
      </c>
      <c r="D16" s="8" t="s">
        <v>63</v>
      </c>
      <c r="E16" s="8" t="s">
        <v>64</v>
      </c>
      <c r="F16" s="8" t="s">
        <v>65</v>
      </c>
      <c r="G16" s="90" t="s">
        <v>66</v>
      </c>
      <c r="H16" s="90"/>
      <c r="I16" s="90"/>
    </row>
    <row r="17" spans="2:9" ht="18" x14ac:dyDescent="0.35">
      <c r="B17" s="2">
        <v>1</v>
      </c>
      <c r="C17" s="2"/>
      <c r="D17" s="6">
        <v>0</v>
      </c>
      <c r="E17" s="6">
        <v>0</v>
      </c>
      <c r="F17" s="6">
        <f>D17+E17</f>
        <v>0</v>
      </c>
      <c r="G17" s="90"/>
      <c r="H17" s="90"/>
      <c r="I17" s="90"/>
    </row>
    <row r="18" spans="2:9" ht="18" x14ac:dyDescent="0.35">
      <c r="B18" s="2">
        <v>2</v>
      </c>
      <c r="C18" s="2"/>
      <c r="D18" s="6">
        <v>0</v>
      </c>
      <c r="E18" s="6">
        <v>0</v>
      </c>
      <c r="F18" s="6">
        <f t="shared" ref="F18:F23" si="0">D18+E18</f>
        <v>0</v>
      </c>
      <c r="G18" s="90"/>
      <c r="H18" s="90"/>
      <c r="I18" s="90"/>
    </row>
    <row r="19" spans="2:9" ht="18" x14ac:dyDescent="0.35">
      <c r="B19" s="2">
        <v>3</v>
      </c>
      <c r="C19" s="2"/>
      <c r="D19" s="6">
        <v>0</v>
      </c>
      <c r="E19" s="6">
        <v>0</v>
      </c>
      <c r="F19" s="6">
        <f t="shared" si="0"/>
        <v>0</v>
      </c>
      <c r="G19" s="90"/>
      <c r="H19" s="90"/>
      <c r="I19" s="90"/>
    </row>
    <row r="20" spans="2:9" ht="18" x14ac:dyDescent="0.35">
      <c r="B20" s="2">
        <v>4</v>
      </c>
      <c r="C20" s="2"/>
      <c r="D20" s="6">
        <v>0</v>
      </c>
      <c r="E20" s="6">
        <v>0</v>
      </c>
      <c r="F20" s="6">
        <f t="shared" si="0"/>
        <v>0</v>
      </c>
      <c r="G20" s="90"/>
      <c r="H20" s="90"/>
      <c r="I20" s="90"/>
    </row>
    <row r="21" spans="2:9" ht="18" x14ac:dyDescent="0.35">
      <c r="B21" s="2">
        <v>5</v>
      </c>
      <c r="C21" s="2"/>
      <c r="D21" s="6">
        <v>0</v>
      </c>
      <c r="E21" s="6">
        <v>0</v>
      </c>
      <c r="F21" s="6">
        <f t="shared" si="0"/>
        <v>0</v>
      </c>
      <c r="G21" s="90"/>
      <c r="H21" s="90"/>
      <c r="I21" s="90"/>
    </row>
    <row r="22" spans="2:9" ht="18" x14ac:dyDescent="0.35">
      <c r="B22" s="2">
        <v>6</v>
      </c>
      <c r="C22" s="3"/>
      <c r="D22" s="6">
        <v>0</v>
      </c>
      <c r="E22" s="6">
        <v>0</v>
      </c>
      <c r="F22" s="6">
        <f t="shared" si="0"/>
        <v>0</v>
      </c>
      <c r="G22" s="90"/>
      <c r="H22" s="90"/>
      <c r="I22" s="90"/>
    </row>
    <row r="23" spans="2:9" ht="18" x14ac:dyDescent="0.35">
      <c r="B23" s="9">
        <v>7</v>
      </c>
      <c r="C23" s="10"/>
      <c r="D23" s="6">
        <v>0</v>
      </c>
      <c r="E23" s="6">
        <v>0</v>
      </c>
      <c r="F23" s="6">
        <f t="shared" si="0"/>
        <v>0</v>
      </c>
      <c r="G23" s="90"/>
      <c r="H23" s="90"/>
      <c r="I23" s="90"/>
    </row>
    <row r="24" spans="2:9" x14ac:dyDescent="0.3">
      <c r="B24" s="11" t="s">
        <v>67</v>
      </c>
      <c r="C24" s="11"/>
      <c r="D24" s="21">
        <f>SUM(D17:D23)</f>
        <v>0</v>
      </c>
      <c r="E24" s="21">
        <f>SUM(E17:E23)</f>
        <v>0</v>
      </c>
      <c r="F24" s="12">
        <f>D24+E24</f>
        <v>0</v>
      </c>
      <c r="G24" s="14"/>
      <c r="H24" s="5"/>
      <c r="I24" s="5"/>
    </row>
  </sheetData>
  <mergeCells count="8">
    <mergeCell ref="G16:I23"/>
    <mergeCell ref="B2:I2"/>
    <mergeCell ref="B3:I3"/>
    <mergeCell ref="B4:I4"/>
    <mergeCell ref="B5:C5"/>
    <mergeCell ref="E5:F5"/>
    <mergeCell ref="B6:E6"/>
    <mergeCell ref="F6:I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2458-2887-452B-B09E-04CC39AF46FD}">
  <dimension ref="B1:I24"/>
  <sheetViews>
    <sheetView topLeftCell="A4" workbookViewId="0">
      <selection activeCell="G10" sqref="G10"/>
    </sheetView>
  </sheetViews>
  <sheetFormatPr defaultColWidth="8.88671875" defaultRowHeight="14.4" x14ac:dyDescent="0.3"/>
  <cols>
    <col min="1" max="1" width="2.6640625" customWidth="1"/>
    <col min="2" max="2" width="4.6640625" customWidth="1"/>
    <col min="3" max="3" width="20.6640625" customWidth="1"/>
    <col min="4" max="9" width="16.6640625" customWidth="1"/>
  </cols>
  <sheetData>
    <row r="1" spans="2:9" ht="15" thickBot="1" x14ac:dyDescent="0.35"/>
    <row r="2" spans="2:9" ht="26.4" thickBot="1" x14ac:dyDescent="0.55000000000000004">
      <c r="B2" s="91" t="str">
        <f>DASHBOARD!$C$4</f>
        <v>ABC COLLEGE</v>
      </c>
      <c r="C2" s="92"/>
      <c r="D2" s="92"/>
      <c r="E2" s="92"/>
      <c r="F2" s="92"/>
      <c r="G2" s="92"/>
      <c r="H2" s="92"/>
      <c r="I2" s="93"/>
    </row>
    <row r="3" spans="2:9" ht="21.6" thickBot="1" x14ac:dyDescent="0.45">
      <c r="B3" s="94" t="str">
        <f>DASHBOARD!$C$6</f>
        <v>COMPUTER ENGG.</v>
      </c>
      <c r="C3" s="95"/>
      <c r="D3" s="95"/>
      <c r="E3" s="95"/>
      <c r="F3" s="95"/>
      <c r="G3" s="95"/>
      <c r="H3" s="95"/>
      <c r="I3" s="96"/>
    </row>
    <row r="4" spans="2:9" ht="26.4" thickBot="1" x14ac:dyDescent="0.55000000000000004">
      <c r="B4" s="91" t="s">
        <v>146</v>
      </c>
      <c r="C4" s="97"/>
      <c r="D4" s="97"/>
      <c r="E4" s="97"/>
      <c r="F4" s="97"/>
      <c r="G4" s="97"/>
      <c r="H4" s="97"/>
      <c r="I4" s="98"/>
    </row>
    <row r="5" spans="2:9" ht="47.4" thickBot="1" x14ac:dyDescent="0.35">
      <c r="B5" s="99" t="str">
        <f>DASHBOARD!C8</f>
        <v>ODD SEM 2019</v>
      </c>
      <c r="C5" s="100"/>
      <c r="D5" s="15" t="s">
        <v>102</v>
      </c>
      <c r="E5" s="101" t="s">
        <v>99</v>
      </c>
      <c r="F5" s="102"/>
      <c r="G5" s="15" t="s">
        <v>101</v>
      </c>
      <c r="H5" s="15" t="s">
        <v>100</v>
      </c>
      <c r="I5" s="13" t="s">
        <v>148</v>
      </c>
    </row>
    <row r="6" spans="2:9" ht="21" x14ac:dyDescent="0.4">
      <c r="B6" s="103"/>
      <c r="C6" s="103"/>
      <c r="D6" s="103"/>
      <c r="E6" s="103"/>
      <c r="F6" s="103"/>
      <c r="G6" s="103"/>
      <c r="H6" s="103"/>
      <c r="I6" s="103"/>
    </row>
    <row r="7" spans="2:9" ht="21" x14ac:dyDescent="0.4">
      <c r="B7" s="58"/>
      <c r="C7" s="58"/>
      <c r="D7" s="59">
        <v>0</v>
      </c>
      <c r="E7" s="59">
        <v>1</v>
      </c>
      <c r="F7" s="59">
        <v>2</v>
      </c>
      <c r="G7" s="59">
        <v>3</v>
      </c>
      <c r="H7" s="59">
        <v>4</v>
      </c>
      <c r="I7" s="59">
        <v>5</v>
      </c>
    </row>
    <row r="8" spans="2:9" ht="18" x14ac:dyDescent="0.35">
      <c r="B8" s="60"/>
      <c r="C8" s="61" t="s">
        <v>54</v>
      </c>
      <c r="D8" s="61" t="s">
        <v>55</v>
      </c>
      <c r="E8" s="61" t="s">
        <v>56</v>
      </c>
      <c r="F8" s="61" t="s">
        <v>57</v>
      </c>
      <c r="G8" s="61" t="s">
        <v>69</v>
      </c>
      <c r="H8" s="61" t="s">
        <v>58</v>
      </c>
      <c r="I8" s="62" t="s">
        <v>59</v>
      </c>
    </row>
    <row r="9" spans="2:9" ht="49.95" customHeight="1" x14ac:dyDescent="0.3">
      <c r="B9" s="63">
        <v>1</v>
      </c>
      <c r="C9" s="61" t="s">
        <v>112</v>
      </c>
      <c r="D9" s="57"/>
      <c r="E9" s="57"/>
      <c r="F9" s="57"/>
      <c r="G9" s="57"/>
      <c r="H9" s="57"/>
      <c r="I9" s="64"/>
    </row>
    <row r="10" spans="2:9" ht="49.95" customHeight="1" x14ac:dyDescent="0.3">
      <c r="B10" s="63">
        <v>2</v>
      </c>
      <c r="C10" s="61" t="s">
        <v>113</v>
      </c>
      <c r="D10" s="57" t="s">
        <v>151</v>
      </c>
      <c r="E10" s="57"/>
      <c r="F10" s="57"/>
      <c r="G10" s="57"/>
      <c r="H10" s="57"/>
      <c r="I10" s="64"/>
    </row>
    <row r="11" spans="2:9" ht="49.95" customHeight="1" x14ac:dyDescent="0.3">
      <c r="B11" s="63">
        <v>3</v>
      </c>
      <c r="C11" s="61" t="s">
        <v>114</v>
      </c>
      <c r="D11" s="57"/>
      <c r="E11" s="57"/>
      <c r="F11" s="57"/>
      <c r="G11" s="57"/>
      <c r="H11" s="57"/>
      <c r="I11" s="64"/>
    </row>
    <row r="12" spans="2:9" ht="49.95" customHeight="1" x14ac:dyDescent="0.3">
      <c r="B12" s="63">
        <v>4</v>
      </c>
      <c r="C12" s="61" t="s">
        <v>115</v>
      </c>
      <c r="D12" s="57"/>
      <c r="E12" s="57"/>
      <c r="F12" s="57"/>
      <c r="G12" s="57"/>
      <c r="H12" s="57"/>
      <c r="I12" s="64"/>
    </row>
    <row r="13" spans="2:9" ht="49.95" customHeight="1" x14ac:dyDescent="0.3">
      <c r="B13" s="63">
        <v>5</v>
      </c>
      <c r="C13" s="61" t="s">
        <v>60</v>
      </c>
      <c r="D13" s="57"/>
      <c r="E13" s="57"/>
      <c r="F13" s="57"/>
      <c r="G13" s="57"/>
      <c r="H13" s="57"/>
      <c r="I13" s="64"/>
    </row>
    <row r="14" spans="2:9" ht="49.95" customHeight="1" x14ac:dyDescent="0.3">
      <c r="B14" s="63">
        <v>6</v>
      </c>
      <c r="C14" s="61" t="s">
        <v>61</v>
      </c>
      <c r="D14" s="65"/>
      <c r="E14" s="65"/>
      <c r="F14" s="65"/>
      <c r="G14" s="65"/>
      <c r="H14" s="65"/>
      <c r="I14" s="65"/>
    </row>
    <row r="15" spans="2:9" ht="18" x14ac:dyDescent="0.35">
      <c r="B15" s="4"/>
    </row>
    <row r="16" spans="2:9" ht="18" x14ac:dyDescent="0.35">
      <c r="B16" s="7"/>
      <c r="C16" s="8" t="s">
        <v>62</v>
      </c>
      <c r="D16" s="8" t="s">
        <v>63</v>
      </c>
      <c r="E16" s="8" t="s">
        <v>64</v>
      </c>
      <c r="F16" s="8" t="s">
        <v>65</v>
      </c>
      <c r="G16" s="90" t="s">
        <v>66</v>
      </c>
      <c r="H16" s="90"/>
      <c r="I16" s="90"/>
    </row>
    <row r="17" spans="2:9" ht="18" x14ac:dyDescent="0.35">
      <c r="B17" s="2">
        <v>1</v>
      </c>
      <c r="C17" s="2"/>
      <c r="D17" s="6">
        <v>0</v>
      </c>
      <c r="E17" s="6">
        <v>0</v>
      </c>
      <c r="F17" s="6">
        <f>D17+E17</f>
        <v>0</v>
      </c>
      <c r="G17" s="90"/>
      <c r="H17" s="90"/>
      <c r="I17" s="90"/>
    </row>
    <row r="18" spans="2:9" ht="18" x14ac:dyDescent="0.35">
      <c r="B18" s="2">
        <v>2</v>
      </c>
      <c r="C18" s="2"/>
      <c r="D18" s="6">
        <v>0</v>
      </c>
      <c r="E18" s="6">
        <v>0</v>
      </c>
      <c r="F18" s="6">
        <f t="shared" ref="F18:F23" si="0">D18+E18</f>
        <v>0</v>
      </c>
      <c r="G18" s="90"/>
      <c r="H18" s="90"/>
      <c r="I18" s="90"/>
    </row>
    <row r="19" spans="2:9" ht="18" x14ac:dyDescent="0.35">
      <c r="B19" s="2">
        <v>3</v>
      </c>
      <c r="C19" s="2"/>
      <c r="D19" s="6">
        <v>0</v>
      </c>
      <c r="E19" s="6">
        <v>0</v>
      </c>
      <c r="F19" s="6">
        <f t="shared" si="0"/>
        <v>0</v>
      </c>
      <c r="G19" s="90"/>
      <c r="H19" s="90"/>
      <c r="I19" s="90"/>
    </row>
    <row r="20" spans="2:9" ht="18" x14ac:dyDescent="0.35">
      <c r="B20" s="2">
        <v>4</v>
      </c>
      <c r="C20" s="2"/>
      <c r="D20" s="6">
        <v>0</v>
      </c>
      <c r="E20" s="6">
        <v>0</v>
      </c>
      <c r="F20" s="6">
        <f t="shared" si="0"/>
        <v>0</v>
      </c>
      <c r="G20" s="90"/>
      <c r="H20" s="90"/>
      <c r="I20" s="90"/>
    </row>
    <row r="21" spans="2:9" ht="18" x14ac:dyDescent="0.35">
      <c r="B21" s="2">
        <v>5</v>
      </c>
      <c r="C21" s="2"/>
      <c r="D21" s="6">
        <v>0</v>
      </c>
      <c r="E21" s="6">
        <v>0</v>
      </c>
      <c r="F21" s="6">
        <f t="shared" si="0"/>
        <v>0</v>
      </c>
      <c r="G21" s="90"/>
      <c r="H21" s="90"/>
      <c r="I21" s="90"/>
    </row>
    <row r="22" spans="2:9" ht="18" x14ac:dyDescent="0.35">
      <c r="B22" s="2">
        <v>6</v>
      </c>
      <c r="C22" s="3"/>
      <c r="D22" s="6">
        <v>0</v>
      </c>
      <c r="E22" s="6">
        <v>0</v>
      </c>
      <c r="F22" s="6">
        <f t="shared" si="0"/>
        <v>0</v>
      </c>
      <c r="G22" s="90"/>
      <c r="H22" s="90"/>
      <c r="I22" s="90"/>
    </row>
    <row r="23" spans="2:9" ht="18" x14ac:dyDescent="0.35">
      <c r="B23" s="9">
        <v>7</v>
      </c>
      <c r="C23" s="10"/>
      <c r="D23" s="6">
        <v>0</v>
      </c>
      <c r="E23" s="6">
        <v>0</v>
      </c>
      <c r="F23" s="6">
        <f t="shared" si="0"/>
        <v>0</v>
      </c>
      <c r="G23" s="90"/>
      <c r="H23" s="90"/>
      <c r="I23" s="90"/>
    </row>
    <row r="24" spans="2:9" x14ac:dyDescent="0.3">
      <c r="B24" s="11" t="s">
        <v>67</v>
      </c>
      <c r="C24" s="11"/>
      <c r="D24" s="21">
        <f>SUM(D17:D23)</f>
        <v>0</v>
      </c>
      <c r="E24" s="21">
        <f>SUM(E17:E23)</f>
        <v>0</v>
      </c>
      <c r="F24" s="12">
        <f>D24+E24</f>
        <v>0</v>
      </c>
      <c r="G24" s="14"/>
      <c r="H24" s="5"/>
      <c r="I24" s="5"/>
    </row>
  </sheetData>
  <mergeCells count="8">
    <mergeCell ref="G16:I23"/>
    <mergeCell ref="B2:I2"/>
    <mergeCell ref="B3:I3"/>
    <mergeCell ref="B4:I4"/>
    <mergeCell ref="B5:C5"/>
    <mergeCell ref="E5:F5"/>
    <mergeCell ref="B6:E6"/>
    <mergeCell ref="F6:I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8C2D7-A537-4A0E-9E4C-07219C59BC39}">
  <dimension ref="B1:I24"/>
  <sheetViews>
    <sheetView topLeftCell="A7" workbookViewId="0">
      <selection activeCell="H11" sqref="H11"/>
    </sheetView>
  </sheetViews>
  <sheetFormatPr defaultColWidth="8.88671875" defaultRowHeight="14.4" x14ac:dyDescent="0.3"/>
  <cols>
    <col min="1" max="1" width="2.6640625" customWidth="1"/>
    <col min="2" max="2" width="4.6640625" customWidth="1"/>
    <col min="3" max="3" width="20.6640625" customWidth="1"/>
    <col min="4" max="9" width="16.6640625" customWidth="1"/>
  </cols>
  <sheetData>
    <row r="1" spans="2:9" ht="15" thickBot="1" x14ac:dyDescent="0.35"/>
    <row r="2" spans="2:9" ht="26.4" thickBot="1" x14ac:dyDescent="0.55000000000000004">
      <c r="B2" s="91" t="str">
        <f>DASHBOARD!$C$4</f>
        <v>ABC COLLEGE</v>
      </c>
      <c r="C2" s="92"/>
      <c r="D2" s="92"/>
      <c r="E2" s="92"/>
      <c r="F2" s="92"/>
      <c r="G2" s="92"/>
      <c r="H2" s="92"/>
      <c r="I2" s="93"/>
    </row>
    <row r="3" spans="2:9" ht="21.6" thickBot="1" x14ac:dyDescent="0.45">
      <c r="B3" s="94" t="str">
        <f>DASHBOARD!$C$6</f>
        <v>COMPUTER ENGG.</v>
      </c>
      <c r="C3" s="95"/>
      <c r="D3" s="95"/>
      <c r="E3" s="95"/>
      <c r="F3" s="95"/>
      <c r="G3" s="95"/>
      <c r="H3" s="95"/>
      <c r="I3" s="96"/>
    </row>
    <row r="4" spans="2:9" ht="26.4" thickBot="1" x14ac:dyDescent="0.55000000000000004">
      <c r="B4" s="91" t="s">
        <v>147</v>
      </c>
      <c r="C4" s="97"/>
      <c r="D4" s="97"/>
      <c r="E4" s="97"/>
      <c r="F4" s="97"/>
      <c r="G4" s="97"/>
      <c r="H4" s="97"/>
      <c r="I4" s="98"/>
    </row>
    <row r="5" spans="2:9" ht="47.4" thickBot="1" x14ac:dyDescent="0.35">
      <c r="B5" s="99" t="str">
        <f>DASHBOARD!C8</f>
        <v>ODD SEM 2019</v>
      </c>
      <c r="C5" s="100"/>
      <c r="D5" s="15" t="s">
        <v>102</v>
      </c>
      <c r="E5" s="101" t="s">
        <v>99</v>
      </c>
      <c r="F5" s="102"/>
      <c r="G5" s="15" t="s">
        <v>101</v>
      </c>
      <c r="H5" s="15" t="s">
        <v>100</v>
      </c>
      <c r="I5" s="13" t="s">
        <v>149</v>
      </c>
    </row>
    <row r="6" spans="2:9" ht="21" x14ac:dyDescent="0.4">
      <c r="B6" s="103"/>
      <c r="C6" s="103"/>
      <c r="D6" s="103"/>
      <c r="E6" s="103"/>
      <c r="F6" s="103"/>
      <c r="G6" s="103"/>
      <c r="H6" s="103"/>
      <c r="I6" s="103"/>
    </row>
    <row r="7" spans="2:9" ht="21" x14ac:dyDescent="0.4">
      <c r="B7" s="58"/>
      <c r="C7" s="58"/>
      <c r="D7" s="59">
        <v>0</v>
      </c>
      <c r="E7" s="59">
        <v>1</v>
      </c>
      <c r="F7" s="59">
        <v>2</v>
      </c>
      <c r="G7" s="59">
        <v>3</v>
      </c>
      <c r="H7" s="59">
        <v>4</v>
      </c>
      <c r="I7" s="59">
        <v>5</v>
      </c>
    </row>
    <row r="8" spans="2:9" ht="18" x14ac:dyDescent="0.35">
      <c r="B8" s="60"/>
      <c r="C8" s="61" t="s">
        <v>54</v>
      </c>
      <c r="D8" s="61" t="s">
        <v>55</v>
      </c>
      <c r="E8" s="61" t="s">
        <v>56</v>
      </c>
      <c r="F8" s="61" t="s">
        <v>57</v>
      </c>
      <c r="G8" s="61" t="s">
        <v>69</v>
      </c>
      <c r="H8" s="61" t="s">
        <v>58</v>
      </c>
      <c r="I8" s="62" t="s">
        <v>59</v>
      </c>
    </row>
    <row r="9" spans="2:9" ht="49.95" customHeight="1" x14ac:dyDescent="0.3">
      <c r="B9" s="63">
        <v>1</v>
      </c>
      <c r="C9" s="61" t="s">
        <v>112</v>
      </c>
      <c r="D9" s="57"/>
      <c r="E9" s="57"/>
      <c r="F9" s="57"/>
      <c r="G9" s="57"/>
      <c r="H9" s="57"/>
      <c r="I9" s="64"/>
    </row>
    <row r="10" spans="2:9" ht="49.95" customHeight="1" x14ac:dyDescent="0.3">
      <c r="B10" s="63">
        <v>2</v>
      </c>
      <c r="C10" s="61" t="s">
        <v>113</v>
      </c>
      <c r="D10" s="57"/>
      <c r="E10" s="57" t="s">
        <v>152</v>
      </c>
      <c r="F10" s="57"/>
      <c r="G10" s="57"/>
      <c r="H10" s="57"/>
      <c r="I10" s="64"/>
    </row>
    <row r="11" spans="2:9" ht="49.95" customHeight="1" x14ac:dyDescent="0.3">
      <c r="B11" s="63">
        <v>3</v>
      </c>
      <c r="C11" s="61" t="s">
        <v>114</v>
      </c>
      <c r="D11" s="57"/>
      <c r="E11" s="57"/>
      <c r="F11" s="57"/>
      <c r="G11" s="57"/>
      <c r="H11" s="57"/>
      <c r="I11" s="64"/>
    </row>
    <row r="12" spans="2:9" ht="49.95" customHeight="1" x14ac:dyDescent="0.3">
      <c r="B12" s="63">
        <v>4</v>
      </c>
      <c r="C12" s="61" t="s">
        <v>115</v>
      </c>
      <c r="D12" s="57"/>
      <c r="E12" s="57"/>
      <c r="F12" s="57"/>
      <c r="G12" s="57"/>
      <c r="H12" s="57"/>
      <c r="I12" s="64"/>
    </row>
    <row r="13" spans="2:9" ht="49.95" customHeight="1" x14ac:dyDescent="0.3">
      <c r="B13" s="63">
        <v>5</v>
      </c>
      <c r="C13" s="61" t="s">
        <v>60</v>
      </c>
      <c r="D13" s="57"/>
      <c r="E13" s="57"/>
      <c r="F13" s="57"/>
      <c r="G13" s="57"/>
      <c r="H13" s="57"/>
      <c r="I13" s="64"/>
    </row>
    <row r="14" spans="2:9" ht="49.95" customHeight="1" x14ac:dyDescent="0.3">
      <c r="B14" s="63">
        <v>6</v>
      </c>
      <c r="C14" s="61" t="s">
        <v>61</v>
      </c>
      <c r="D14" s="65"/>
      <c r="E14" s="65"/>
      <c r="F14" s="65"/>
      <c r="G14" s="65"/>
      <c r="H14" s="65"/>
      <c r="I14" s="65"/>
    </row>
    <row r="15" spans="2:9" ht="18" x14ac:dyDescent="0.35">
      <c r="B15" s="4"/>
    </row>
    <row r="16" spans="2:9" ht="18" x14ac:dyDescent="0.35">
      <c r="B16" s="7"/>
      <c r="C16" s="8" t="s">
        <v>62</v>
      </c>
      <c r="D16" s="8" t="s">
        <v>63</v>
      </c>
      <c r="E16" s="8" t="s">
        <v>64</v>
      </c>
      <c r="F16" s="8" t="s">
        <v>65</v>
      </c>
      <c r="G16" s="90" t="s">
        <v>66</v>
      </c>
      <c r="H16" s="90"/>
      <c r="I16" s="90"/>
    </row>
    <row r="17" spans="2:9" ht="18" x14ac:dyDescent="0.35">
      <c r="B17" s="2">
        <v>1</v>
      </c>
      <c r="C17" s="2"/>
      <c r="D17" s="6">
        <v>0</v>
      </c>
      <c r="E17" s="6">
        <v>0</v>
      </c>
      <c r="F17" s="6">
        <f>D17+E17</f>
        <v>0</v>
      </c>
      <c r="G17" s="90"/>
      <c r="H17" s="90"/>
      <c r="I17" s="90"/>
    </row>
    <row r="18" spans="2:9" ht="18" x14ac:dyDescent="0.35">
      <c r="B18" s="2">
        <v>2</v>
      </c>
      <c r="C18" s="2"/>
      <c r="D18" s="6">
        <v>0</v>
      </c>
      <c r="E18" s="6">
        <v>0</v>
      </c>
      <c r="F18" s="6">
        <f t="shared" ref="F18:F23" si="0">D18+E18</f>
        <v>0</v>
      </c>
      <c r="G18" s="90"/>
      <c r="H18" s="90"/>
      <c r="I18" s="90"/>
    </row>
    <row r="19" spans="2:9" ht="18" x14ac:dyDescent="0.35">
      <c r="B19" s="2">
        <v>3</v>
      </c>
      <c r="C19" s="2"/>
      <c r="D19" s="6">
        <v>0</v>
      </c>
      <c r="E19" s="6">
        <v>0</v>
      </c>
      <c r="F19" s="6">
        <f t="shared" si="0"/>
        <v>0</v>
      </c>
      <c r="G19" s="90"/>
      <c r="H19" s="90"/>
      <c r="I19" s="90"/>
    </row>
    <row r="20" spans="2:9" ht="18" x14ac:dyDescent="0.35">
      <c r="B20" s="2">
        <v>4</v>
      </c>
      <c r="C20" s="2"/>
      <c r="D20" s="6">
        <v>0</v>
      </c>
      <c r="E20" s="6">
        <v>0</v>
      </c>
      <c r="F20" s="6">
        <f t="shared" si="0"/>
        <v>0</v>
      </c>
      <c r="G20" s="90"/>
      <c r="H20" s="90"/>
      <c r="I20" s="90"/>
    </row>
    <row r="21" spans="2:9" ht="18" x14ac:dyDescent="0.35">
      <c r="B21" s="2">
        <v>5</v>
      </c>
      <c r="C21" s="2"/>
      <c r="D21" s="6">
        <v>0</v>
      </c>
      <c r="E21" s="6">
        <v>0</v>
      </c>
      <c r="F21" s="6">
        <f t="shared" si="0"/>
        <v>0</v>
      </c>
      <c r="G21" s="90"/>
      <c r="H21" s="90"/>
      <c r="I21" s="90"/>
    </row>
    <row r="22" spans="2:9" ht="18" x14ac:dyDescent="0.35">
      <c r="B22" s="2">
        <v>6</v>
      </c>
      <c r="C22" s="3"/>
      <c r="D22" s="6">
        <v>0</v>
      </c>
      <c r="E22" s="6">
        <v>0</v>
      </c>
      <c r="F22" s="6">
        <f t="shared" si="0"/>
        <v>0</v>
      </c>
      <c r="G22" s="90"/>
      <c r="H22" s="90"/>
      <c r="I22" s="90"/>
    </row>
    <row r="23" spans="2:9" ht="18" x14ac:dyDescent="0.35">
      <c r="B23" s="9">
        <v>7</v>
      </c>
      <c r="C23" s="10"/>
      <c r="D23" s="6">
        <v>0</v>
      </c>
      <c r="E23" s="6">
        <v>0</v>
      </c>
      <c r="F23" s="6">
        <f t="shared" si="0"/>
        <v>0</v>
      </c>
      <c r="G23" s="90"/>
      <c r="H23" s="90"/>
      <c r="I23" s="90"/>
    </row>
    <row r="24" spans="2:9" x14ac:dyDescent="0.3">
      <c r="B24" s="11" t="s">
        <v>67</v>
      </c>
      <c r="C24" s="11"/>
      <c r="D24" s="21">
        <f>SUM(D17:D23)</f>
        <v>0</v>
      </c>
      <c r="E24" s="21">
        <f>SUM(E17:E23)</f>
        <v>0</v>
      </c>
      <c r="F24" s="12">
        <f>D24+E24</f>
        <v>0</v>
      </c>
      <c r="G24" s="14"/>
      <c r="H24" s="5"/>
      <c r="I24" s="5"/>
    </row>
  </sheetData>
  <mergeCells count="8">
    <mergeCell ref="G16:I23"/>
    <mergeCell ref="B2:I2"/>
    <mergeCell ref="B3:I3"/>
    <mergeCell ref="B4:I4"/>
    <mergeCell ref="B5:C5"/>
    <mergeCell ref="E5:F5"/>
    <mergeCell ref="B6:E6"/>
    <mergeCell ref="F6:I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E23DA-C082-4484-8B79-D24697DDF8F7}">
  <dimension ref="A1:H22"/>
  <sheetViews>
    <sheetView workbookViewId="0">
      <selection activeCell="F11" sqref="F11"/>
    </sheetView>
  </sheetViews>
  <sheetFormatPr defaultColWidth="8.88671875" defaultRowHeight="14.4" x14ac:dyDescent="0.3"/>
  <cols>
    <col min="1" max="1" width="4.109375" customWidth="1"/>
    <col min="2" max="2" width="15.6640625" customWidth="1"/>
    <col min="3" max="8" width="20.6640625" customWidth="1"/>
  </cols>
  <sheetData>
    <row r="1" spans="1:8" ht="23.4" x14ac:dyDescent="0.3">
      <c r="A1" s="80" t="str">
        <f>DASHBOARD!$C$4</f>
        <v>ABC COLLEGE</v>
      </c>
      <c r="B1" s="80"/>
      <c r="C1" s="80"/>
      <c r="D1" s="80"/>
      <c r="E1" s="80"/>
      <c r="F1" s="80"/>
      <c r="G1" s="80"/>
      <c r="H1" s="80"/>
    </row>
    <row r="2" spans="1:8" ht="18" x14ac:dyDescent="0.3">
      <c r="A2" s="79" t="str">
        <f>DASHBOARD!$C$6</f>
        <v>COMPUTER ENGG.</v>
      </c>
      <c r="B2" s="79"/>
      <c r="C2" s="79"/>
      <c r="D2" s="79"/>
      <c r="E2" s="79"/>
      <c r="F2" s="79"/>
      <c r="G2" s="79"/>
      <c r="H2" s="79"/>
    </row>
    <row r="3" spans="1:8" ht="18" x14ac:dyDescent="0.3">
      <c r="A3" s="79" t="s">
        <v>68</v>
      </c>
      <c r="B3" s="79"/>
      <c r="C3" s="79"/>
      <c r="D3" s="79"/>
      <c r="E3" s="79"/>
      <c r="F3" s="79"/>
      <c r="G3" s="79"/>
      <c r="H3" s="79"/>
    </row>
    <row r="4" spans="1:8" ht="18" x14ac:dyDescent="0.3">
      <c r="A4" s="81" t="s">
        <v>47</v>
      </c>
      <c r="B4" s="82"/>
      <c r="C4" s="82"/>
      <c r="D4" s="83"/>
      <c r="E4" s="84" t="s">
        <v>96</v>
      </c>
      <c r="F4" s="84"/>
      <c r="G4" s="85" t="s">
        <v>98</v>
      </c>
      <c r="H4" s="85"/>
    </row>
    <row r="5" spans="1:8" x14ac:dyDescent="0.3">
      <c r="A5" s="86"/>
      <c r="B5" s="86"/>
      <c r="C5" s="86"/>
      <c r="D5" s="86"/>
      <c r="E5" s="87"/>
      <c r="F5" s="88"/>
      <c r="G5" s="88"/>
      <c r="H5" s="89"/>
    </row>
    <row r="6" spans="1:8" ht="15.6" x14ac:dyDescent="0.3">
      <c r="A6" s="70"/>
      <c r="B6" s="55" t="s">
        <v>54</v>
      </c>
      <c r="C6" s="55" t="s">
        <v>55</v>
      </c>
      <c r="D6" s="55" t="s">
        <v>56</v>
      </c>
      <c r="E6" s="55" t="s">
        <v>57</v>
      </c>
      <c r="F6" s="55" t="s">
        <v>69</v>
      </c>
      <c r="G6" s="55" t="s">
        <v>58</v>
      </c>
      <c r="H6" s="55" t="s">
        <v>59</v>
      </c>
    </row>
    <row r="7" spans="1:8" ht="40.200000000000003" customHeight="1" x14ac:dyDescent="0.3">
      <c r="A7" s="70">
        <v>1</v>
      </c>
      <c r="B7" s="56" t="s">
        <v>112</v>
      </c>
      <c r="C7" s="57" t="s">
        <v>153</v>
      </c>
      <c r="D7" s="57"/>
      <c r="E7" s="57"/>
      <c r="F7" s="57"/>
      <c r="G7" s="57"/>
      <c r="H7" s="57"/>
    </row>
    <row r="8" spans="1:8" ht="40.200000000000003" customHeight="1" x14ac:dyDescent="0.3">
      <c r="A8" s="70">
        <v>2</v>
      </c>
      <c r="B8" s="56" t="s">
        <v>113</v>
      </c>
      <c r="C8" s="57" t="s">
        <v>154</v>
      </c>
      <c r="D8" s="57"/>
      <c r="E8" s="57"/>
      <c r="F8" s="57"/>
      <c r="G8" s="57"/>
      <c r="H8" s="57"/>
    </row>
    <row r="9" spans="1:8" ht="40.200000000000003" customHeight="1" x14ac:dyDescent="0.3">
      <c r="A9" s="70">
        <v>3</v>
      </c>
      <c r="B9" s="56" t="s">
        <v>114</v>
      </c>
      <c r="C9" s="57"/>
      <c r="D9" s="57"/>
      <c r="E9" s="57"/>
      <c r="F9" s="57"/>
      <c r="G9" s="57"/>
      <c r="H9" s="57"/>
    </row>
    <row r="10" spans="1:8" ht="40.200000000000003" customHeight="1" x14ac:dyDescent="0.3">
      <c r="A10" s="70">
        <v>4</v>
      </c>
      <c r="B10" s="56" t="s">
        <v>115</v>
      </c>
      <c r="C10" s="57"/>
      <c r="D10" s="57"/>
      <c r="E10" s="57"/>
      <c r="F10" s="57"/>
      <c r="G10" s="57"/>
      <c r="H10" s="57"/>
    </row>
    <row r="11" spans="1:8" ht="40.200000000000003" customHeight="1" x14ac:dyDescent="0.3">
      <c r="A11" s="70">
        <v>5</v>
      </c>
      <c r="B11" s="56" t="s">
        <v>60</v>
      </c>
      <c r="C11" s="57"/>
      <c r="D11" s="57"/>
      <c r="E11" s="57"/>
      <c r="F11" s="57"/>
      <c r="G11" s="57"/>
      <c r="H11" s="57"/>
    </row>
    <row r="12" spans="1:8" ht="40.200000000000003" customHeight="1" x14ac:dyDescent="0.3">
      <c r="A12" s="70">
        <v>6</v>
      </c>
      <c r="B12" s="56" t="s">
        <v>61</v>
      </c>
      <c r="C12" s="57"/>
      <c r="D12" s="57"/>
      <c r="E12" s="57"/>
      <c r="F12" s="57"/>
      <c r="G12" s="57"/>
      <c r="H12" s="57"/>
    </row>
    <row r="13" spans="1:8" x14ac:dyDescent="0.3">
      <c r="A13" s="1"/>
      <c r="B13" s="1"/>
      <c r="C13" s="1"/>
      <c r="D13" s="1"/>
      <c r="E13" s="1"/>
      <c r="F13" s="1"/>
      <c r="G13" s="1"/>
      <c r="H13" s="1"/>
    </row>
    <row r="14" spans="1:8" ht="15.6" x14ac:dyDescent="0.3">
      <c r="A14" s="104"/>
      <c r="B14" s="105"/>
      <c r="C14" s="105"/>
      <c r="D14" s="106"/>
      <c r="E14" s="105"/>
      <c r="F14" s="107"/>
      <c r="G14" s="112" t="s">
        <v>66</v>
      </c>
      <c r="H14" s="112"/>
    </row>
    <row r="15" spans="1:8" ht="15.6" x14ac:dyDescent="0.3">
      <c r="A15" s="104"/>
      <c r="B15" s="108"/>
      <c r="C15" s="109"/>
      <c r="D15" s="110"/>
      <c r="E15" s="105"/>
      <c r="F15" s="105"/>
      <c r="G15" s="112"/>
      <c r="H15" s="112"/>
    </row>
    <row r="16" spans="1:8" ht="15.6" x14ac:dyDescent="0.3">
      <c r="A16" s="104"/>
      <c r="B16" s="108"/>
      <c r="C16" s="109"/>
      <c r="D16" s="110"/>
      <c r="E16" s="105"/>
      <c r="F16" s="105"/>
      <c r="G16" s="112"/>
      <c r="H16" s="112"/>
    </row>
    <row r="17" spans="1:8" ht="15.6" x14ac:dyDescent="0.3">
      <c r="A17" s="104"/>
      <c r="B17" s="108"/>
      <c r="C17" s="109"/>
      <c r="D17" s="110"/>
      <c r="E17" s="105"/>
      <c r="F17" s="105"/>
      <c r="G17" s="112"/>
      <c r="H17" s="112"/>
    </row>
    <row r="18" spans="1:8" ht="15.6" x14ac:dyDescent="0.3">
      <c r="A18" s="104"/>
      <c r="B18" s="108"/>
      <c r="C18" s="109"/>
      <c r="D18" s="110"/>
      <c r="E18" s="105"/>
      <c r="F18" s="105"/>
      <c r="G18" s="112"/>
      <c r="H18" s="112"/>
    </row>
    <row r="19" spans="1:8" ht="15.6" x14ac:dyDescent="0.3">
      <c r="A19" s="104"/>
      <c r="B19" s="108"/>
      <c r="C19" s="109"/>
      <c r="D19" s="110"/>
      <c r="E19" s="105"/>
      <c r="F19" s="105"/>
      <c r="G19" s="112"/>
      <c r="H19" s="112"/>
    </row>
    <row r="20" spans="1:8" ht="15.6" x14ac:dyDescent="0.3">
      <c r="A20" s="104"/>
      <c r="B20" s="108"/>
      <c r="C20" s="109"/>
      <c r="D20" s="110"/>
      <c r="E20" s="105"/>
      <c r="F20" s="105"/>
      <c r="G20" s="112"/>
      <c r="H20" s="112"/>
    </row>
    <row r="21" spans="1:8" ht="15.6" x14ac:dyDescent="0.3">
      <c r="A21" s="104"/>
      <c r="B21" s="108"/>
      <c r="C21" s="109"/>
      <c r="D21" s="110"/>
      <c r="E21" s="105"/>
      <c r="F21" s="105"/>
      <c r="G21" s="112"/>
      <c r="H21" s="112"/>
    </row>
    <row r="22" spans="1:8" x14ac:dyDescent="0.3">
      <c r="B22" s="111"/>
      <c r="C22" s="111"/>
      <c r="D22" s="111"/>
      <c r="E22" s="111"/>
      <c r="F22" s="111"/>
    </row>
  </sheetData>
  <mergeCells count="9">
    <mergeCell ref="A5:D5"/>
    <mergeCell ref="E5:H5"/>
    <mergeCell ref="G14:H21"/>
    <mergeCell ref="A1:H1"/>
    <mergeCell ref="A2:H2"/>
    <mergeCell ref="A3:H3"/>
    <mergeCell ref="A4:D4"/>
    <mergeCell ref="E4:F4"/>
    <mergeCell ref="G4:H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AAD84-3D30-4C77-8DE8-F906DF5FE9D0}">
  <dimension ref="A1:H22"/>
  <sheetViews>
    <sheetView workbookViewId="0">
      <selection activeCell="G11" sqref="G11"/>
    </sheetView>
  </sheetViews>
  <sheetFormatPr defaultColWidth="8.88671875" defaultRowHeight="14.4" x14ac:dyDescent="0.3"/>
  <cols>
    <col min="1" max="1" width="4.109375" customWidth="1"/>
    <col min="2" max="2" width="15.6640625" customWidth="1"/>
    <col min="3" max="8" width="20.6640625" customWidth="1"/>
  </cols>
  <sheetData>
    <row r="1" spans="1:8" ht="23.4" x14ac:dyDescent="0.3">
      <c r="A1" s="80" t="str">
        <f>DASHBOARD!$C$4</f>
        <v>ABC COLLEGE</v>
      </c>
      <c r="B1" s="80"/>
      <c r="C1" s="80"/>
      <c r="D1" s="80"/>
      <c r="E1" s="80"/>
      <c r="F1" s="80"/>
      <c r="G1" s="80"/>
      <c r="H1" s="80"/>
    </row>
    <row r="2" spans="1:8" ht="18" x14ac:dyDescent="0.3">
      <c r="A2" s="79" t="str">
        <f>DASHBOARD!$C$6</f>
        <v>COMPUTER ENGG.</v>
      </c>
      <c r="B2" s="79"/>
      <c r="C2" s="79"/>
      <c r="D2" s="79"/>
      <c r="E2" s="79"/>
      <c r="F2" s="79"/>
      <c r="G2" s="79"/>
      <c r="H2" s="79"/>
    </row>
    <row r="3" spans="1:8" ht="18" x14ac:dyDescent="0.3">
      <c r="A3" s="79" t="s">
        <v>68</v>
      </c>
      <c r="B3" s="79"/>
      <c r="C3" s="79"/>
      <c r="D3" s="79"/>
      <c r="E3" s="79"/>
      <c r="F3" s="79"/>
      <c r="G3" s="79"/>
      <c r="H3" s="79"/>
    </row>
    <row r="4" spans="1:8" ht="18" x14ac:dyDescent="0.3">
      <c r="A4" s="81" t="s">
        <v>47</v>
      </c>
      <c r="B4" s="82"/>
      <c r="C4" s="82"/>
      <c r="D4" s="83"/>
      <c r="E4" s="84" t="s">
        <v>97</v>
      </c>
      <c r="F4" s="84"/>
      <c r="G4" s="85" t="s">
        <v>98</v>
      </c>
      <c r="H4" s="85"/>
    </row>
    <row r="5" spans="1:8" x14ac:dyDescent="0.3">
      <c r="A5" s="86"/>
      <c r="B5" s="86"/>
      <c r="C5" s="86"/>
      <c r="D5" s="86"/>
      <c r="E5" s="87"/>
      <c r="F5" s="88"/>
      <c r="G5" s="88"/>
      <c r="H5" s="89"/>
    </row>
    <row r="6" spans="1:8" ht="15.6" x14ac:dyDescent="0.3">
      <c r="A6" s="70"/>
      <c r="B6" s="55" t="s">
        <v>54</v>
      </c>
      <c r="C6" s="55" t="s">
        <v>55</v>
      </c>
      <c r="D6" s="55" t="s">
        <v>56</v>
      </c>
      <c r="E6" s="55" t="s">
        <v>57</v>
      </c>
      <c r="F6" s="55" t="s">
        <v>69</v>
      </c>
      <c r="G6" s="55" t="s">
        <v>58</v>
      </c>
      <c r="H6" s="55" t="s">
        <v>59</v>
      </c>
    </row>
    <row r="7" spans="1:8" ht="40.200000000000003" customHeight="1" x14ac:dyDescent="0.3">
      <c r="A7" s="70">
        <v>1</v>
      </c>
      <c r="B7" s="56" t="s">
        <v>112</v>
      </c>
      <c r="C7" s="57"/>
      <c r="D7" s="57"/>
      <c r="E7" s="57"/>
      <c r="F7" s="57"/>
      <c r="G7" s="57"/>
      <c r="H7" s="57"/>
    </row>
    <row r="8" spans="1:8" ht="40.200000000000003" customHeight="1" x14ac:dyDescent="0.3">
      <c r="A8" s="70">
        <v>2</v>
      </c>
      <c r="B8" s="56" t="s">
        <v>113</v>
      </c>
      <c r="C8" s="57"/>
      <c r="D8" s="57" t="s">
        <v>155</v>
      </c>
      <c r="E8" s="57"/>
      <c r="F8" s="57"/>
      <c r="G8" s="57"/>
      <c r="H8" s="57"/>
    </row>
    <row r="9" spans="1:8" ht="40.200000000000003" customHeight="1" x14ac:dyDescent="0.3">
      <c r="A9" s="70">
        <v>3</v>
      </c>
      <c r="B9" s="56" t="s">
        <v>114</v>
      </c>
      <c r="C9" s="57"/>
      <c r="D9" s="57"/>
      <c r="E9" s="57"/>
      <c r="F9" s="57"/>
      <c r="G9" s="57"/>
      <c r="H9" s="57"/>
    </row>
    <row r="10" spans="1:8" ht="40.200000000000003" customHeight="1" x14ac:dyDescent="0.3">
      <c r="A10" s="70">
        <v>4</v>
      </c>
      <c r="B10" s="56" t="s">
        <v>115</v>
      </c>
      <c r="C10" s="57"/>
      <c r="D10" s="57"/>
      <c r="E10" s="57"/>
      <c r="F10" s="57"/>
      <c r="G10" s="57"/>
      <c r="H10" s="57"/>
    </row>
    <row r="11" spans="1:8" ht="40.200000000000003" customHeight="1" x14ac:dyDescent="0.3">
      <c r="A11" s="70">
        <v>5</v>
      </c>
      <c r="B11" s="56" t="s">
        <v>60</v>
      </c>
      <c r="C11" s="57"/>
      <c r="D11" s="57"/>
      <c r="E11" s="57"/>
      <c r="F11" s="57"/>
      <c r="G11" s="57"/>
      <c r="H11" s="57"/>
    </row>
    <row r="12" spans="1:8" ht="40.200000000000003" customHeight="1" x14ac:dyDescent="0.3">
      <c r="A12" s="70">
        <v>6</v>
      </c>
      <c r="B12" s="56" t="s">
        <v>61</v>
      </c>
      <c r="C12" s="57"/>
      <c r="D12" s="57"/>
      <c r="E12" s="57"/>
      <c r="F12" s="57"/>
      <c r="G12" s="57"/>
      <c r="H12" s="57"/>
    </row>
    <row r="13" spans="1:8" x14ac:dyDescent="0.3">
      <c r="A13" s="1"/>
      <c r="B13" s="1"/>
      <c r="C13" s="1"/>
      <c r="D13" s="1"/>
      <c r="E13" s="1"/>
      <c r="F13" s="1"/>
      <c r="G13" s="1"/>
      <c r="H13" s="1"/>
    </row>
    <row r="14" spans="1:8" ht="15.6" x14ac:dyDescent="0.3">
      <c r="A14" s="104"/>
      <c r="B14" s="105"/>
      <c r="C14" s="105"/>
      <c r="D14" s="106"/>
      <c r="E14" s="105"/>
      <c r="F14" s="107"/>
      <c r="G14" s="112" t="s">
        <v>66</v>
      </c>
      <c r="H14" s="112"/>
    </row>
    <row r="15" spans="1:8" ht="15.6" x14ac:dyDescent="0.3">
      <c r="A15" s="104"/>
      <c r="B15" s="108"/>
      <c r="C15" s="109"/>
      <c r="D15" s="110"/>
      <c r="E15" s="105"/>
      <c r="F15" s="105"/>
      <c r="G15" s="112"/>
      <c r="H15" s="112"/>
    </row>
    <row r="16" spans="1:8" ht="15.6" x14ac:dyDescent="0.3">
      <c r="A16" s="104"/>
      <c r="B16" s="108"/>
      <c r="C16" s="109"/>
      <c r="D16" s="110"/>
      <c r="E16" s="105"/>
      <c r="F16" s="105"/>
      <c r="G16" s="112"/>
      <c r="H16" s="112"/>
    </row>
    <row r="17" spans="1:8" ht="15.6" x14ac:dyDescent="0.3">
      <c r="A17" s="104"/>
      <c r="B17" s="108"/>
      <c r="C17" s="109"/>
      <c r="D17" s="110"/>
      <c r="E17" s="105"/>
      <c r="F17" s="105"/>
      <c r="G17" s="112"/>
      <c r="H17" s="112"/>
    </row>
    <row r="18" spans="1:8" ht="15.6" x14ac:dyDescent="0.3">
      <c r="A18" s="104"/>
      <c r="B18" s="108"/>
      <c r="C18" s="109"/>
      <c r="D18" s="110"/>
      <c r="E18" s="105"/>
      <c r="F18" s="105"/>
      <c r="G18" s="112"/>
      <c r="H18" s="112"/>
    </row>
    <row r="19" spans="1:8" ht="15.6" x14ac:dyDescent="0.3">
      <c r="A19" s="104"/>
      <c r="B19" s="108"/>
      <c r="C19" s="109"/>
      <c r="D19" s="110"/>
      <c r="E19" s="105"/>
      <c r="F19" s="105"/>
      <c r="G19" s="112"/>
      <c r="H19" s="112"/>
    </row>
    <row r="20" spans="1:8" ht="15.6" x14ac:dyDescent="0.3">
      <c r="A20" s="104"/>
      <c r="B20" s="108"/>
      <c r="C20" s="109"/>
      <c r="D20" s="110"/>
      <c r="E20" s="105"/>
      <c r="F20" s="105"/>
      <c r="G20" s="112"/>
      <c r="H20" s="112"/>
    </row>
    <row r="21" spans="1:8" ht="15.6" x14ac:dyDescent="0.3">
      <c r="A21" s="104"/>
      <c r="B21" s="108"/>
      <c r="C21" s="109"/>
      <c r="D21" s="110"/>
      <c r="E21" s="105"/>
      <c r="F21" s="105"/>
      <c r="G21" s="112"/>
      <c r="H21" s="112"/>
    </row>
    <row r="22" spans="1:8" x14ac:dyDescent="0.3">
      <c r="B22" s="111"/>
      <c r="C22" s="111"/>
      <c r="D22" s="111"/>
      <c r="E22" s="111"/>
      <c r="F22" s="111"/>
    </row>
  </sheetData>
  <mergeCells count="9">
    <mergeCell ref="A5:D5"/>
    <mergeCell ref="E5:H5"/>
    <mergeCell ref="G14:H21"/>
    <mergeCell ref="A1:H1"/>
    <mergeCell ref="A2:H2"/>
    <mergeCell ref="A3:H3"/>
    <mergeCell ref="A4:D4"/>
    <mergeCell ref="E4:F4"/>
    <mergeCell ref="G4:H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F3DC-8D70-4552-AC6B-6FDE56154A1D}">
  <dimension ref="B1:I15"/>
  <sheetViews>
    <sheetView topLeftCell="A7" workbookViewId="0">
      <selection activeCell="I10" sqref="I10"/>
    </sheetView>
  </sheetViews>
  <sheetFormatPr defaultColWidth="9.109375" defaultRowHeight="14.4" x14ac:dyDescent="0.3"/>
  <cols>
    <col min="1" max="1" width="2.6640625" customWidth="1"/>
    <col min="2" max="2" width="4.6640625" customWidth="1"/>
    <col min="3" max="3" width="20.6640625" customWidth="1"/>
    <col min="4" max="9" width="16.6640625" customWidth="1"/>
  </cols>
  <sheetData>
    <row r="1" spans="2:9" ht="15" thickBot="1" x14ac:dyDescent="0.35"/>
    <row r="2" spans="2:9" ht="26.4" thickBot="1" x14ac:dyDescent="0.55000000000000004">
      <c r="B2" s="91" t="str">
        <f>DASHBOARD!$C$4</f>
        <v>ABC COLLEGE</v>
      </c>
      <c r="C2" s="92"/>
      <c r="D2" s="92"/>
      <c r="E2" s="92"/>
      <c r="F2" s="92"/>
      <c r="G2" s="92"/>
      <c r="H2" s="92"/>
      <c r="I2" s="93"/>
    </row>
    <row r="3" spans="2:9" ht="21.6" thickBot="1" x14ac:dyDescent="0.45">
      <c r="B3" s="94" t="str">
        <f>DASHBOARD!$C$6</f>
        <v>COMPUTER ENGG.</v>
      </c>
      <c r="C3" s="95"/>
      <c r="D3" s="95"/>
      <c r="E3" s="95"/>
      <c r="F3" s="95"/>
      <c r="G3" s="95"/>
      <c r="H3" s="95"/>
      <c r="I3" s="96"/>
    </row>
    <row r="4" spans="2:9" ht="26.4" thickBot="1" x14ac:dyDescent="0.55000000000000004">
      <c r="B4" s="91">
        <v>8888</v>
      </c>
      <c r="C4" s="97"/>
      <c r="D4" s="97"/>
      <c r="E4" s="97"/>
      <c r="F4" s="97"/>
      <c r="G4" s="97"/>
      <c r="H4" s="97"/>
      <c r="I4" s="98"/>
    </row>
    <row r="5" spans="2:9" ht="47.4" thickBot="1" x14ac:dyDescent="0.35">
      <c r="B5" s="99" t="str">
        <f>DASHBOARD!C8</f>
        <v>ODD SEM 2019</v>
      </c>
      <c r="C5" s="100"/>
      <c r="D5" s="15" t="s">
        <v>92</v>
      </c>
      <c r="E5" s="101" t="s">
        <v>89</v>
      </c>
      <c r="F5" s="102"/>
      <c r="G5" s="15" t="s">
        <v>88</v>
      </c>
      <c r="H5" s="15" t="s">
        <v>91</v>
      </c>
      <c r="I5" s="13">
        <v>8888</v>
      </c>
    </row>
    <row r="6" spans="2:9" ht="21" x14ac:dyDescent="0.4">
      <c r="B6" s="103"/>
      <c r="C6" s="103"/>
      <c r="D6" s="103"/>
      <c r="E6" s="103"/>
      <c r="F6" s="103"/>
      <c r="G6" s="103"/>
      <c r="H6" s="103"/>
      <c r="I6" s="103"/>
    </row>
    <row r="7" spans="2:9" ht="21" x14ac:dyDescent="0.4">
      <c r="B7" s="58"/>
      <c r="C7" s="58"/>
      <c r="D7" s="59">
        <v>0</v>
      </c>
      <c r="E7" s="59">
        <v>1</v>
      </c>
      <c r="F7" s="59">
        <v>2</v>
      </c>
      <c r="G7" s="59">
        <v>3</v>
      </c>
      <c r="H7" s="59">
        <v>4</v>
      </c>
      <c r="I7" s="59">
        <v>5</v>
      </c>
    </row>
    <row r="8" spans="2:9" ht="18" x14ac:dyDescent="0.35">
      <c r="B8" s="60"/>
      <c r="C8" s="61" t="s">
        <v>54</v>
      </c>
      <c r="D8" s="61" t="s">
        <v>55</v>
      </c>
      <c r="E8" s="61" t="s">
        <v>56</v>
      </c>
      <c r="F8" s="61" t="s">
        <v>57</v>
      </c>
      <c r="G8" s="61" t="s">
        <v>69</v>
      </c>
      <c r="H8" s="61" t="s">
        <v>58</v>
      </c>
      <c r="I8" s="62" t="s">
        <v>59</v>
      </c>
    </row>
    <row r="9" spans="2:9" ht="45" customHeight="1" x14ac:dyDescent="0.3">
      <c r="B9" s="63">
        <v>1</v>
      </c>
      <c r="C9" s="61" t="s">
        <v>112</v>
      </c>
      <c r="D9" s="57" t="s">
        <v>156</v>
      </c>
      <c r="E9" s="57"/>
      <c r="F9" s="57"/>
      <c r="G9" s="57"/>
      <c r="H9" s="57"/>
      <c r="I9" s="64"/>
    </row>
    <row r="10" spans="2:9" ht="45" customHeight="1" x14ac:dyDescent="0.3">
      <c r="B10" s="63">
        <v>2</v>
      </c>
      <c r="C10" s="61" t="s">
        <v>113</v>
      </c>
      <c r="D10" s="57" t="s">
        <v>157</v>
      </c>
      <c r="E10" s="57"/>
      <c r="F10" s="57"/>
      <c r="G10" s="57"/>
      <c r="H10" s="57"/>
      <c r="I10" s="64"/>
    </row>
    <row r="11" spans="2:9" ht="45" customHeight="1" x14ac:dyDescent="0.3">
      <c r="B11" s="63">
        <v>3</v>
      </c>
      <c r="C11" s="61" t="s">
        <v>114</v>
      </c>
      <c r="D11" s="57"/>
      <c r="E11" s="57"/>
      <c r="F11" s="57"/>
      <c r="G11" s="57"/>
      <c r="H11" s="57"/>
      <c r="I11" s="64"/>
    </row>
    <row r="12" spans="2:9" ht="45" customHeight="1" x14ac:dyDescent="0.3">
      <c r="B12" s="63">
        <v>4</v>
      </c>
      <c r="C12" s="61" t="s">
        <v>115</v>
      </c>
      <c r="D12" s="57"/>
      <c r="E12" s="57"/>
      <c r="F12" s="57"/>
      <c r="G12" s="57"/>
      <c r="H12" s="57"/>
      <c r="I12" s="64"/>
    </row>
    <row r="13" spans="2:9" ht="45" customHeight="1" x14ac:dyDescent="0.3">
      <c r="B13" s="63">
        <v>5</v>
      </c>
      <c r="C13" s="61" t="s">
        <v>60</v>
      </c>
      <c r="D13" s="57"/>
      <c r="E13" s="57"/>
      <c r="F13" s="57"/>
      <c r="G13" s="57"/>
      <c r="H13" s="57"/>
      <c r="I13" s="64"/>
    </row>
    <row r="14" spans="2:9" ht="45" customHeight="1" x14ac:dyDescent="0.3">
      <c r="B14" s="63">
        <v>6</v>
      </c>
      <c r="C14" s="61" t="s">
        <v>61</v>
      </c>
      <c r="D14" s="65"/>
      <c r="E14" s="65"/>
      <c r="F14" s="65"/>
      <c r="G14" s="65"/>
      <c r="H14" s="65"/>
      <c r="I14" s="65"/>
    </row>
    <row r="15" spans="2:9" ht="18" x14ac:dyDescent="0.35">
      <c r="B15" s="4"/>
    </row>
  </sheetData>
  <mergeCells count="7">
    <mergeCell ref="B2:I2"/>
    <mergeCell ref="B3:I3"/>
    <mergeCell ref="B4:I4"/>
    <mergeCell ref="B5:C5"/>
    <mergeCell ref="E5:F5"/>
    <mergeCell ref="B6:E6"/>
    <mergeCell ref="F6:I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00E58-EA2A-4766-9268-D11AFCB0232F}">
  <dimension ref="B1:I15"/>
  <sheetViews>
    <sheetView workbookViewId="0">
      <selection activeCell="I11" sqref="I11"/>
    </sheetView>
  </sheetViews>
  <sheetFormatPr defaultColWidth="9.109375" defaultRowHeight="14.4" x14ac:dyDescent="0.3"/>
  <cols>
    <col min="1" max="1" width="2.6640625" customWidth="1"/>
    <col min="2" max="2" width="4.6640625" customWidth="1"/>
    <col min="3" max="3" width="20.6640625" customWidth="1"/>
    <col min="4" max="9" width="16.6640625" customWidth="1"/>
  </cols>
  <sheetData>
    <row r="1" spans="2:9" ht="15" thickBot="1" x14ac:dyDescent="0.35"/>
    <row r="2" spans="2:9" ht="26.4" thickBot="1" x14ac:dyDescent="0.55000000000000004">
      <c r="B2" s="91" t="str">
        <f>DASHBOARD!$C$4</f>
        <v>ABC COLLEGE</v>
      </c>
      <c r="C2" s="92"/>
      <c r="D2" s="92"/>
      <c r="E2" s="92"/>
      <c r="F2" s="92"/>
      <c r="G2" s="92"/>
      <c r="H2" s="92"/>
      <c r="I2" s="93"/>
    </row>
    <row r="3" spans="2:9" ht="21.6" thickBot="1" x14ac:dyDescent="0.45">
      <c r="B3" s="94" t="str">
        <f>DASHBOARD!$C$6</f>
        <v>COMPUTER ENGG.</v>
      </c>
      <c r="C3" s="95"/>
      <c r="D3" s="95"/>
      <c r="E3" s="95"/>
      <c r="F3" s="95"/>
      <c r="G3" s="95"/>
      <c r="H3" s="95"/>
      <c r="I3" s="96"/>
    </row>
    <row r="4" spans="2:9" ht="26.4" thickBot="1" x14ac:dyDescent="0.55000000000000004">
      <c r="B4" s="91">
        <v>9999</v>
      </c>
      <c r="C4" s="97"/>
      <c r="D4" s="97"/>
      <c r="E4" s="97"/>
      <c r="F4" s="97"/>
      <c r="G4" s="97"/>
      <c r="H4" s="97"/>
      <c r="I4" s="98"/>
    </row>
    <row r="5" spans="2:9" ht="47.4" thickBot="1" x14ac:dyDescent="0.35">
      <c r="B5" s="99" t="str">
        <f>DASHBOARD!C8</f>
        <v>ODD SEM 2019</v>
      </c>
      <c r="C5" s="100"/>
      <c r="D5" s="15" t="s">
        <v>92</v>
      </c>
      <c r="E5" s="101" t="s">
        <v>89</v>
      </c>
      <c r="F5" s="102"/>
      <c r="G5" s="15" t="s">
        <v>88</v>
      </c>
      <c r="H5" s="15" t="s">
        <v>91</v>
      </c>
      <c r="I5" s="13">
        <v>9999</v>
      </c>
    </row>
    <row r="6" spans="2:9" ht="21" x14ac:dyDescent="0.4">
      <c r="B6" s="103"/>
      <c r="C6" s="103"/>
      <c r="D6" s="103"/>
      <c r="E6" s="103"/>
      <c r="F6" s="103"/>
      <c r="G6" s="103"/>
      <c r="H6" s="103"/>
      <c r="I6" s="103"/>
    </row>
    <row r="7" spans="2:9" ht="21" x14ac:dyDescent="0.4">
      <c r="B7" s="58"/>
      <c r="C7" s="58"/>
      <c r="D7" s="59">
        <v>0</v>
      </c>
      <c r="E7" s="59">
        <v>1</v>
      </c>
      <c r="F7" s="59">
        <v>2</v>
      </c>
      <c r="G7" s="59">
        <v>3</v>
      </c>
      <c r="H7" s="59">
        <v>4</v>
      </c>
      <c r="I7" s="59">
        <v>5</v>
      </c>
    </row>
    <row r="8" spans="2:9" ht="18" x14ac:dyDescent="0.35">
      <c r="B8" s="60"/>
      <c r="C8" s="61" t="s">
        <v>54</v>
      </c>
      <c r="D8" s="61" t="s">
        <v>55</v>
      </c>
      <c r="E8" s="61" t="s">
        <v>56</v>
      </c>
      <c r="F8" s="61" t="s">
        <v>57</v>
      </c>
      <c r="G8" s="61" t="s">
        <v>69</v>
      </c>
      <c r="H8" s="61" t="s">
        <v>58</v>
      </c>
      <c r="I8" s="62" t="s">
        <v>59</v>
      </c>
    </row>
    <row r="9" spans="2:9" ht="45" customHeight="1" x14ac:dyDescent="0.3">
      <c r="B9" s="63">
        <v>1</v>
      </c>
      <c r="C9" s="61" t="s">
        <v>112</v>
      </c>
      <c r="D9" s="57"/>
      <c r="E9" s="57"/>
      <c r="F9" s="57"/>
      <c r="G9" s="57"/>
      <c r="H9" s="57"/>
      <c r="I9" s="64"/>
    </row>
    <row r="10" spans="2:9" ht="45" customHeight="1" x14ac:dyDescent="0.3">
      <c r="B10" s="63">
        <v>2</v>
      </c>
      <c r="C10" s="61" t="s">
        <v>113</v>
      </c>
      <c r="D10" s="57"/>
      <c r="E10" s="57" t="s">
        <v>158</v>
      </c>
      <c r="F10" s="57"/>
      <c r="G10" s="57"/>
      <c r="H10" s="57"/>
      <c r="I10" s="64"/>
    </row>
    <row r="11" spans="2:9" ht="45" customHeight="1" x14ac:dyDescent="0.3">
      <c r="B11" s="63">
        <v>3</v>
      </c>
      <c r="C11" s="61" t="s">
        <v>114</v>
      </c>
      <c r="D11" s="57"/>
      <c r="E11" s="57"/>
      <c r="F11" s="57"/>
      <c r="G11" s="57"/>
      <c r="H11" s="57"/>
      <c r="I11" s="64"/>
    </row>
    <row r="12" spans="2:9" ht="45" customHeight="1" x14ac:dyDescent="0.3">
      <c r="B12" s="63">
        <v>4</v>
      </c>
      <c r="C12" s="61" t="s">
        <v>115</v>
      </c>
      <c r="D12" s="57"/>
      <c r="E12" s="57"/>
      <c r="F12" s="57"/>
      <c r="G12" s="57"/>
      <c r="H12" s="57"/>
      <c r="I12" s="64"/>
    </row>
    <row r="13" spans="2:9" ht="45" customHeight="1" x14ac:dyDescent="0.3">
      <c r="B13" s="63">
        <v>5</v>
      </c>
      <c r="C13" s="61" t="s">
        <v>60</v>
      </c>
      <c r="D13" s="57"/>
      <c r="E13" s="57"/>
      <c r="F13" s="57"/>
      <c r="G13" s="57"/>
      <c r="H13" s="57"/>
      <c r="I13" s="64"/>
    </row>
    <row r="14" spans="2:9" ht="45" customHeight="1" x14ac:dyDescent="0.3">
      <c r="B14" s="63">
        <v>6</v>
      </c>
      <c r="C14" s="61" t="s">
        <v>61</v>
      </c>
      <c r="D14" s="65"/>
      <c r="E14" s="65"/>
      <c r="F14" s="65"/>
      <c r="G14" s="65"/>
      <c r="H14" s="65"/>
      <c r="I14" s="65"/>
    </row>
    <row r="15" spans="2:9" ht="18" x14ac:dyDescent="0.35">
      <c r="B15" s="4"/>
    </row>
  </sheetData>
  <mergeCells count="7">
    <mergeCell ref="B2:I2"/>
    <mergeCell ref="B3:I3"/>
    <mergeCell ref="B4:I4"/>
    <mergeCell ref="B5:C5"/>
    <mergeCell ref="E5:F5"/>
    <mergeCell ref="B6:E6"/>
    <mergeCell ref="F6:I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DASHBOARD</vt:lpstr>
      <vt:lpstr>DAY</vt:lpstr>
      <vt:lpstr>PERIOD</vt:lpstr>
      <vt:lpstr>FACULTYID</vt:lpstr>
      <vt:lpstr>CLASSID</vt:lpstr>
      <vt:lpstr>CLASSROOMID</vt:lpstr>
      <vt:lpstr>TT</vt:lpstr>
      <vt:lpstr>CTT</vt:lpstr>
      <vt:lpstr>FTT</vt:lpstr>
      <vt:lpstr>RTT</vt:lpstr>
      <vt:lpstr>AAP</vt:lpstr>
      <vt:lpstr>GGP</vt:lpstr>
      <vt:lpstr>YYD</vt:lpstr>
      <vt:lpstr>4CEA</vt:lpstr>
      <vt:lpstr>4CEB</vt:lpstr>
      <vt:lpstr>8888</vt:lpstr>
      <vt:lpstr>9999</vt:lpstr>
      <vt:lpstr>FTT!Print_Area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hiren</dc:creator>
  <cp:lastModifiedBy>HIREN</cp:lastModifiedBy>
  <cp:lastPrinted>2018-12-31T03:22:26Z</cp:lastPrinted>
  <dcterms:created xsi:type="dcterms:W3CDTF">2017-06-15T09:21:26Z</dcterms:created>
  <dcterms:modified xsi:type="dcterms:W3CDTF">2019-04-08T05:21:07Z</dcterms:modified>
</cp:coreProperties>
</file>